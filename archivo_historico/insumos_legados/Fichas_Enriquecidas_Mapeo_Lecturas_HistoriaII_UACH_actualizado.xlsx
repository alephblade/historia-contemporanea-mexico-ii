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turas" sheetId="1" r:id="rId4"/>
    <sheet state="visible" name="Conocimientos y habilidades gen" sheetId="2" r:id="rId5"/>
    <sheet state="visible" name="Aprendizajes del programa que a" sheetId="3" r:id="rId6"/>
    <sheet state="visible" name="Referencias temáticas" sheetId="4" r:id="rId7"/>
    <sheet state="visible" name="Categorías de Análisis - Estudi" sheetId="5" r:id="rId8"/>
    <sheet state="visible" name="Preguntas orientadoras - Estudi" sheetId="6" r:id="rId9"/>
    <sheet state="visible" name="Sugerencias didácticopedagógica" sheetId="7" r:id="rId10"/>
    <sheet state="visible" name="Sugerencias de uso para el Estu" sheetId="8" r:id="rId11"/>
    <sheet state="visible" name="Actividades" sheetId="9" r:id="rId12"/>
    <sheet state="visible" name="Integración con evaluación" sheetId="10" r:id="rId13"/>
    <sheet state="visible" name="Articulación con otras lecturas" sheetId="11" r:id="rId14"/>
  </sheets>
  <definedNames/>
  <calcPr/>
  <extLst>
    <ext uri="GoogleSheetsCustomDataVersion2">
      <go:sheetsCustomData xmlns:go="http://customooxmlschemas.google.com/" r:id="rId15" roundtripDataChecksum="7mhYy8IM2luQFBTiowVq3dmhFLIxuYOVnIQcBYZw2UQ="/>
    </ext>
  </extLst>
</workbook>
</file>

<file path=xl/sharedStrings.xml><?xml version="1.0" encoding="utf-8"?>
<sst xmlns="http://schemas.openxmlformats.org/spreadsheetml/2006/main" count="374" uniqueCount="319">
  <si>
    <t>id_recurso</t>
  </si>
  <si>
    <t>conocimientos_habilidades</t>
  </si>
  <si>
    <t>aprendizajes esperados</t>
  </si>
  <si>
    <t>Indice</t>
  </si>
  <si>
    <t>referencia</t>
  </si>
  <si>
    <t>Título</t>
  </si>
  <si>
    <t>Nombre del archivo</t>
  </si>
  <si>
    <t>Autoría</t>
  </si>
  <si>
    <t>Descripción de la Fuente</t>
  </si>
  <si>
    <t>Año (si se conoce)</t>
  </si>
  <si>
    <t>Tipo de material</t>
  </si>
  <si>
    <t>Acceso (abierto/institucional)</t>
  </si>
  <si>
    <t>Fuente / URL</t>
  </si>
  <si>
    <t>Resumen analítico (≤6 líneas)</t>
  </si>
  <si>
    <t>Unidad temática UACH</t>
  </si>
  <si>
    <t>Temas y conceptos clave</t>
  </si>
  <si>
    <t>Nivel sugerido</t>
  </si>
  <si>
    <t>Características del estado porfirista mexicano (Unidad 1): La lectura explica el ascenso al poder de Porfirio Díaz y cómo consolidó su autoridad mediante el sometimiento de caudillos militares, su pragmatismo político, la conciliación con la Iglesia católica y el ajuste de leyes para perpetuarse en el cargo a través de siete reelecciones</t>
  </si>
  <si>
    <t>Identificar el proyecto de modernización económica de México y la instauración del capitalismo (Unidad 1)</t>
  </si>
  <si>
    <t>Proyecto de modernización económica de México (Unidad 1): El texto describe los resultados de su mandato bajo el lema positivista de "Orden y Progreso", abordando el crecimiento económico y la creación de infraestructura, a la par de la entrega de sectores económicos a compañías extranjeras</t>
  </si>
  <si>
    <t>Reconocer y describir los conflictos sociales en el porfiriato: rebeliones campesinas y obreras, así como la condición de las mujeres en dicha sociedad (Unidad 1)</t>
  </si>
  <si>
    <t>Situación política, surgimiento de partidos y disidencia (Unidad 1): El material expone la falta de libertades políticas durante décadas y cómo las declaraciones de Díaz en la entrevista con James Creelman detonaron la efervescencia política, dando pie al surgimiento de nuevos partidos y movimientos, como el reyismo y el maderismo</t>
  </si>
  <si>
    <t>Definir las características del cardenismo y su proyecto de transformación social, económica y política (Unidad 3)</t>
  </si>
  <si>
    <t>Conflictos sociales en el porfiriato: rebeliones campesinas y obreras (Unidad 1): Apoya este tema detallando los brotes de descontento, la resistencia y la represión sistemática, mencionando ejemplos históricos como el plan de Catarino E. Garza, la rebelión de Tomóchic, la Guerra del Yaqui y el Programa del Partido Liberal Mexicano</t>
  </si>
  <si>
    <t>Investigar las manifestaciones de inconformidad social, las formas organizativas y las luchas por la defensa de sus derechos frente al modelo neoliberal (Unidades 4 y 5)</t>
  </si>
  <si>
    <t>Identificar y comprender las características del estado porfirista mexicano (Unidad 1): La lectura explica el ascenso al poder de Porfirio Díaz y cómo consolidó su autoridad mediante el sometimiento de caudillos militares, su pragmatismo político, la conciliación con la Iglesia católica y el ajuste de leyes para perpetuarse en el cargo a través de siete reelecciones.</t>
  </si>
  <si>
    <t>Identificar el proyecto de modernización económica de México y la instauración del capitalismo (Unidad 1): La lectura detalla cómo el Valle del Yaqui se insertó en la economía de mercado a través de concesiones a compañías extranjeras (como la Compañía Constructora Richardson), transformando el territorio para la agroindustria e irrigación a costa del despojo de las tierras indígenas.</t>
  </si>
  <si>
    <t>Inicio de la Revolución y fin de la dictadura (Unidad 2): El documento cubre el colapso del régimen tras la séptima reelección de Díaz, el llamado a las armas por Francisco I. Madero para establecer la democracia, y la renuncia y exilio definitivo del dictador</t>
  </si>
  <si>
    <t>La dictadura porfirista</t>
  </si>
  <si>
    <t>dictadura-porfirista.pdf</t>
  </si>
  <si>
    <t>No reelección: Fue el principio fundamental y la bandera política bajo la cual Porfirio Díaz se rebeló originalmente contra los gobiernos de Benito Juárez y Sebastián Lerdo de Tejada. [P-3]</t>
  </si>
  <si>
    <t>Analizar el proyecto de modernización económica de México (Unidad 1): El texto describe los resultados de su mandato bajo el lema positivista de "Orden y Progreso", abordando el crecimiento económico y la creación de infraestructura, a la par de la entrega de sectores económicos a compañías extranjeras</t>
  </si>
  <si>
    <t>INEHRM (divulgación institucional)</t>
  </si>
  <si>
    <t>Yaquis: Pueblo originario que se ha caracterizado históricamente por su capacidad de resistencia y negociación frente al poder político civil. [P-10]</t>
  </si>
  <si>
    <t>Sin autoría individual especificada. Se trata de un texto conmemorativo o catálogo de exposición elaborado con motivo del primer centenario de la muerte de Porfirio Díaz, publicado bajo el sello del Instituto Nacional de Antropología e Historia (INAH) y CONACULTA.</t>
  </si>
  <si>
    <t>Compara los aspectos positivos y negativos del porfiriato (Unidad 1): La lectura provee los elementos exactos para este contraste. Por un lado, señala la pacificación del país y el desarrollo económico impulsado por el positivismo, y por el otro, subraya la inmensa desigualdad social, la pobreza, la censura y las prácticas autoritarias</t>
  </si>
  <si>
    <t>Reconocer los conflictos sociales en el porfiriato: rebeliones campesinas y obreras (Unidad 1): El texto permite examinar la Guerra Secular del Yaqui, la resistencia armada liderada por Cajeme y Tetabiate, y la radical política porfiriana de exterminio y deportación masiva hacia Yucatán y Veracruz como método de pacificación.</t>
  </si>
  <si>
    <t>Antecedentes: El texto señala que el sistema político nacional es un producto directo de la Revolución Mexicana y de las instituciones y reglas que se formaron con posterioridad a dicho movimiento. [P-4]</t>
  </si>
  <si>
    <t>Artículo de divulgación</t>
  </si>
  <si>
    <t>Abierto</t>
  </si>
  <si>
    <t>Examinar la situación política, surgimiento de partidos y disidencia (Unidad 1): El material expone la falta de libertades políticas durante décadas y cómo las declaraciones de Díaz en la entrevista con James Creelman detonaron la efervescencia política, dando pie al surgimiento de nuevos partidos y movimientos, como el reyismo y el maderismo</t>
  </si>
  <si>
    <t>https://www.inehrm.gob.mx/es/inehrm/La_Dictadura_Porfirista</t>
  </si>
  <si>
    <t>Identifica la existencia de grupos políticos opositores al régimen (Unidad 1): El estudiante podrá reconocer movimientos y organizaciones disidentes como el Club "Ponciano Arriaga", los seguidores de los hermanos Flores Magón y, más adelante, la oposición electoral y armada liderada por Madero</t>
  </si>
  <si>
    <t>Examinar la lucha de constitucionalistas y zapatistas contra la dictadura (Unidad 2): El material expone cómo, durante la Revolución Mexicana, distintas facciones de la tribu yaqui se aliaron con Álvaro Obregón y el ejército constitucionalista con la firme promesa de que se les restituiría su territorio ancestral.</t>
  </si>
  <si>
    <t>Describe los conflictos sociales del porfiriato (Unidad 1): A través de manifiestos citados en la lectura (como el firmado por Santana Pérez y Filomeno Durán), el estudiante puede describir la indignación popular y las acciones bélicas que sirvieron como antecedente directo a la revolución</t>
  </si>
  <si>
    <t>Reconocer los conflictos sociales en el porfiriato: rebeliones campesinas y obreras (Unidad 1): Apoya este tema detallando los brotes de descontento, la resistencia y la represión sistemática, mencionando ejemplos históricos como el plan de Catarino E. Garza, la rebelión de Tomóchic, la Guerra del Yaqui y el Programa del Partido Liberal Mexicano</t>
  </si>
  <si>
    <t>Teorización e historiografía: El texto realiza un análisis teórico y metodológico sobre las revoluciones sociales, revisando y criticando las interpretaciones previas de historiadores y cronistas. [P-226]</t>
  </si>
  <si>
    <t>Comprender la transición del caudillismo a las instituciones; los gobiernos de Álvaro Obregón y Plutarco Elías Calles (Unidad 3): La lectura documenta la ruptura de las promesas revolucionarias, culminando en la rebelión yaqui de 1926 y en una nueva campaña estatal de exterminio y bombardeos aéreos orquestada por los líderes sonorenses.</t>
  </si>
  <si>
    <t>Distingue las causas de la Revolución Mexicana (Unidad 2): El texto permite al estudiante analizar cómo la senectud del régimen, la concentración de la riqueza, la exclusión ciudadana y la cerrazón de Díaz al no cumplir su promesa de retirarse del poder desencadenaron el levantamiento armado de 1910</t>
  </si>
  <si>
    <t>Comprender el inicio de la Revolución y fin de la dictadura (Unidad 2): El documento cubre el colapso del régimen tras la séptima reelección de Díaz, el llamado a las armas por Francisco I. Madero para establecer la democracia, y la renuncia y exilio definitivo del dictador</t>
  </si>
  <si>
    <t>Plan de Tuxtepec: Documento y movimiento armado de 1876 mediante el cual Díaz logró finalmente la victoria militar, provocando el exilio de Lerdo de Tejada y su propio ascenso a la presidencia. [P-4]</t>
  </si>
  <si>
    <t>Analizar el Estado nacionalista del cardenismo y sus reformas sociales (Unidad 3): El texto profundiza en el histórico reparto agrario, el decreto de restitución de tierras de 1937 y 1940 firmado por Lázaro Cárdenas, y la transición del liderazgo armado a un liderazgo político, sindical y pacífico (con figuras como Jacinto López).</t>
  </si>
  <si>
    <t>Vida yoeme: Concepto que designa la existencia y cultura de la "gente" (yoeme), definida por elementos como el territorio, la lengua, la religión y su historia heredada. [P-98]</t>
  </si>
  <si>
    <t>Comparar los aspectos positivos y negativos del porfiriato (Unidad 1): La lectura provee los elementos exactos para este contraste. Por un lado, señala la pacificación del país y el desarrollo económico impulsado por el positivismo, y por el otro, subraya la inmensa desigualdad social, la pobreza, la censura y las prácticas autoritarias</t>
  </si>
  <si>
    <t>Porfiriato: Se describe como un periodo (1876-1911) fundamental para el significado de las instituciones posteriores, caracterizado por un régimen dictatorial y autoritario basado en el control político-administrativo, el uso de la fuerza y la profundización de las desigualdades. [P-7]</t>
  </si>
  <si>
    <t>Revolución social: Se define a la Revolución Mexicana como una expresión del fenómeno moderno de revolución social y un proceso dinámico de cambio acelerado. [P-32]</t>
  </si>
  <si>
    <t>Investigar los modelos económicos seguidos a partir de la década de los 40 y el llamado “Milagro Mexicano” (Unidad 4): Se explica la llegada de Norman Borlaug al Campo Experimental El Yaqui y la implantación de la "Revolución Verde", lo que incrementó drásticamente la producción triguera del valle.</t>
  </si>
  <si>
    <t>Dictadura: Régimen personalista establecido por Díaz que se prolongó por más de treinta años, caracterizado por el control absoluto del sistema político. [P-6]</t>
  </si>
  <si>
    <t>Identificar la existencia de grupos políticos opositores al régimen (Unidad 1): El estudiante podrá reconocer movimientos y organizaciones disidentes como el Club "Ponciano Arriaga", los seguidores de los hermanos Flores Magón y, más adelante, la oposición electoral y armada liderada por Madero</t>
  </si>
  <si>
    <t>Identidad: Construcción robustecida por la resistencia ejercida a través del tiempo para conservarla, vinculada profundamente al medio geográfico y a la memoria. [P-11]</t>
  </si>
  <si>
    <t>Realizar un análisis de la situación económica, política, social y cultural actual (Unidad 5): El documento documenta conflictos contemporáneos, específicamente el despojo hídrico derivado del megaproyecto "Acueducto Independencia" en 2010, y la resistencia civil pacífica liderada por voceros como Tomás Rojo.</t>
  </si>
  <si>
    <t>Revolución Mexicana: Es definida como un proceso de cambio dinámico que modificó las estructuras sociales, políticas y jurídicas de México, impulsado por demandas de justicia social y democracia (sufragio efectivo y no reelección) frente a la dictadura de Díaz. [P-12]</t>
  </si>
  <si>
    <t>Movimientos sociales: Se distingue conceptualmente entre movimientos sociales y revoluciones, analizando el papel de los esfuerzos colectivos para desafiar el statu quo. [P-21]</t>
  </si>
  <si>
    <t>Describir los conflictos sociales del porfiriato (Unidad 1): A través de manifiestos citados en la lectura (como el firmado por Santana Pérez y Filomeno Durán), el estudiante puede describir la indignación popular y las acciones bélicas que sirvieron como antecedente directo a la revolución</t>
  </si>
  <si>
    <t>Describir los conflictos sociales del porfiriato (Unidad 1): A través de la recuperación de la posmemoria y los testimonios de las mujeres yaquis, el estudiante puede describir a nivel profundo el trauma del destierro, las violaciones, el trabajo esclavo en las haciendas henequeneras y el impacto del genocidio.</t>
  </si>
  <si>
    <t>El texto ofrece un recuento histórico de la prolongada estancia de Porfirio Díaz en el poder. Aborda su ascenso mediante rebeliones militares, sus estrategias para consolidar la dictadura (sometimiento de caudillos, conciliación con la Iglesia y sucesivas reelecciones), el contradictorio modelo de "Orden y Progreso", y la creciente oposición social que desembocó en la Revolución maderista y su exilio.</t>
  </si>
  <si>
    <t>Régimen Porfirista|Revolución Mexicana</t>
  </si>
  <si>
    <t>Autoridad: Capacidad de Díaz para someter a caudillos militares y regionales, imponiendo una lealtad y subordinación incuestionables hacia su figura. [P-5]</t>
  </si>
  <si>
    <t>Dictadura, modernización, Orden y Progreso, reelección, positivismo, rebeliones sociales, desigualdad social, conciliación eclesiástica, maderismo, Revolución Mexicana</t>
  </si>
  <si>
    <t>Memoria: Elemento fundamental de la historia yaqui que permite la preservación de relatos transgeneracionales sobre su pasado, actuando como un mecanismo de resistencia contra el olvido de las atrocidades. [P-114]</t>
  </si>
  <si>
    <t>introductorio</t>
  </si>
  <si>
    <t>Constitución de 1917: La obra la refiere como la institución formal más relevante del Estado posrevolucionario, la cual estableció las reglas para el desarrollo de procesos electorales, la emergencia de partidos políticos y la estructura de los poderes públicos. [P-17]</t>
  </si>
  <si>
    <t>Distinguir las causas de la Revolución Mexicana (Unidad 2): El texto permite al estudiante analizar cómo la senectud del régimen, la concentración de la riqueza, la exclusión ciudadana y la cerrazón de Díaz al no cumplir su promesa de retirarse del poder desencadenaron el levantamiento armado de 1910</t>
  </si>
  <si>
    <t>Estado y poder: La obra se centra en el empoderamiento, la contestación y la reconstitución del poder del Estado como el meollo de las dinámicas revolucionarias. [P-39]</t>
  </si>
  <si>
    <t>Describir la condición de las mujeres en la sociedad porfirista (Unidad 1): El alumno logrará dimensionar el papel histórico fundamental de las mujeres yaquis durante la deportación, quienes fungieron como las principales reproductoras de su cultura, resguardando la lengua, la memoria y la identidad étnica en el destierro</t>
  </si>
  <si>
    <t>Definir las características del cardenismo y su proyecto de transformación social, económica y política (Unidad 3): El estudiante puede analizar críticamente el debate antropológico y político de la época sobre si la meta de la restitución era respetar la autonomía tradicional de los pueblos o asimilarlos mediante una "mexicanización" ciudadana y educativa.</t>
  </si>
  <si>
    <t>Positivismo: Doctrina ideológica, introducida en México por Gabino Barreda, que sirvió como fundamento educativo y político para legitimar las acciones del gobierno. [P-6]</t>
  </si>
  <si>
    <t>Imaginario: Red de significaciones sociales que subyacen y dan cohesión a la sociedad, permitiendo analizar aspectos simbólicos del devenir histórico yaqui. [P-19]</t>
  </si>
  <si>
    <t>Garantías individuales: El texto señala que estas se encuentran en la parte dogmática de la Constitución y establecen un sistema de limitaciones a la acción del poder público, protegiendo libertades y derechos de los individuos. [P-14]</t>
  </si>
  <si>
    <t>Investigar las manifestaciones de inconformidad social, las formas organizativas y las luchas por la defensa de sus derechos (Unidad 4): El material permite analizar la evolución de la protesta social, pasando de la guerra de guerrillas a nuevas tácticas como las invasiones de tierras en los años 70, las presiones sindicales y la vía electoral con la UGOCM y el Partido Popular.</t>
  </si>
  <si>
    <t>Proceso y fases cronológicas: Se propone el estudio de la revolución como un proceso de larga duración (1900-1940) dividido en diversas etapas políticas, económicas y culturales. [P-73]</t>
  </si>
  <si>
    <t>Yaquis: Memoria, Territorio y Participación Política</t>
  </si>
  <si>
    <t>yaquis-memoria-territorio-politica.pdf</t>
  </si>
  <si>
    <t>Identificar los problemas actuales de la sociedad mexicana como un país multiétnico y pluricultural (Unidad 5): El texto provee las bases para reflexionar sobre los retos modernos de la autonomía indígena, el derecho internacional a la consulta libre, previa e informada, y la criminalización de líderes sociales que defienden su territorio frente a los intereses del Estado y la agroindustria moderna.</t>
  </si>
  <si>
    <t>Zulema Trejo Contreras, Regina Tapia, Edna Lucía García Rivera, Miguel Ángel Grijalva Dávila, Yolanda Gonzalez Gómez, Veremundo Carrillo Reveles, Axel Solórzand</t>
  </si>
  <si>
    <t>Orden y progreso: Lema derivado del positivismo que se convirtió en el eje del régimen, justificando la pacificación forzada como medio para alcanzar el desarrollo material. [P-6]</t>
  </si>
  <si>
    <t>Instituto Nacional de Estudios Históricos de las Revoluciones de México (INEHRM) / Secretaría de Cultura. Es una publicación gubernamental de acceso abierto.</t>
  </si>
  <si>
    <t>Arqueología de la identidad: Ejercicio reflexivo que analiza la construcción de la historia común desde las necesidades contemporáneas de la tribu. [P-12]</t>
  </si>
  <si>
    <t>Libro digital</t>
  </si>
  <si>
    <t>Estructura orgánica: Se refiere a la sección constitucional que organiza los poderes públicos con sus respectivas competencias, la soberanía nacional y la forma de gobierno. [P-14]</t>
  </si>
  <si>
    <t>https://www.inehrm.gob.mx/recursos/Libros/2025_yaquis_memoria_territorio_yparticipacion_politica.pdf</t>
  </si>
  <si>
    <t>Paradigma incluyente: El autor utiliza un modelo de análisis que integra variables tradicionalmente subestimadas para lograr una perspectiva integral. [P-150]</t>
  </si>
  <si>
    <t>Crecimiento económico: Periodo marcado por el fomento a la inversión extranjera, la creación de infraestructura ferroviaria y la modernización de las principales ramas económicas. [P-6]</t>
  </si>
  <si>
    <t>Territorio: Concepto construido y creado por la comunidad que se materializa según condiciones históricas y sociales, arraigado en el significado simbólico del río y el valle. [P-18]</t>
  </si>
  <si>
    <t>División de poderes: La obra indica que la Constitución consagra la distribución del poder supremo de la federación en tres ramas: Legislativo, Ejecutivo y Judicial, definiendo funciones claras para cada uno. [P-20]</t>
  </si>
  <si>
    <t>Género y sexualidad: Se analiza la participación de las mujeres y las identidades de género y sexualidad como factores integrales del proceso. [P-160]</t>
  </si>
  <si>
    <t>Desigualdad social: Resultado del modelo económico que, aunque generó riqueza, la concentró en pocas manos y excluyó a la mayoría de la población, aumentando la pobreza. [P-9]</t>
  </si>
  <si>
    <t>Territorialidad: Significación imaginario-social encarnada en el territorio que evoluciona constantemente, permitiendo a los yaquis adaptarse a circunstancias cambiantes. [P-24]</t>
  </si>
  <si>
    <t>Esta obra colectiva analiza la historia de los yaquis mediante tres ejes sustanciales: territorio, participación política y memoria. El texto explora su capacidad de resistencia y negociación frente al Estado, destacando el profundo significado simbólico que el río y el valle tienen para la identidad de este pueblo. Los ensayos examinan desde los liderazgos y el reparto agrario cardenista hasta las huellas traumáticas de la deportación porfirista narradas por mujeres. Finalmente, se reflexiona sobre la autonomía y la vigencia de sus luchas territoriales actuales ante megaproyectos hídricos contemporáneos.</t>
  </si>
  <si>
    <t>Poder Ejecutivo: Se señala como el órgano encargado de gobernar y ejecutar las leyes aprobadas por el Legislativo, depositado en un solo individuo denominado Presidente de la República. [P-13]</t>
  </si>
  <si>
    <t>Régimen Porfirista|Revolución Mexicana|Estado surgido de la Revolución|Neoliberalismo y alternancia</t>
  </si>
  <si>
    <t>Yaquis, memoria, territorio, participación política, territorialidad, imaginario, propiedad, reparto agrario, agencia, negociación, insurrección, liderazgos cardenistas, movimientos electorales, protesta pacífica, identidad, deportación, guerra, vida yoeme, mexicanización, resistencia, autonomía, arqueología de la identidad.</t>
  </si>
  <si>
    <t>Raza y racismo: Se exploran las cuestiones raciales y el legado colonial como elementos determinantes en las relaciones sociales y el liderazgo. [P-163]</t>
  </si>
  <si>
    <t>intermedio|avanzado</t>
  </si>
  <si>
    <t>Conciliación e Iglesia Católica: Estrategia política para suavizar las tensiones con el clero mediante concesiones y un relajamiento en la aplicación de las leyes de Reforma. [P-7]</t>
  </si>
  <si>
    <t>Propiedad: Institución que se tornó necesaria en el imaginario yaqui a medida que surgieron amenazas de despojo, pasando de la noción de posesión inmemorial a la necesidad de instrumentos legales. [P-27]</t>
  </si>
  <si>
    <t>Presidencialismo: El texto describe este fenómeno como el ejercicio de facultades extraordinarias donde la figura presidencial predomina sobre los otros poderes, convirtiendo al Legislativo y Judicial en instituciones débiles o subordinadas durante gran parte del siglo XX. [P-21]</t>
  </si>
  <si>
    <t>Clase social: Se examinan las estructuras clasistas, la explotación y la conciencia de clase entre los diversos sectores participantes. [P-165]</t>
  </si>
  <si>
    <t>Módulo: sistema político mexicano (dictadura / elecciones porfiristas)</t>
  </si>
  <si>
    <t>Represión: Uso sistemático de la fuerza, la intimidación y la violencia contra cualquier intento de disidencia o levantamiento armado que amenazara la paz del régimen. [P-8]</t>
  </si>
  <si>
    <t>modulo-sistema-politico-mexicano.pdf</t>
  </si>
  <si>
    <t>Guerra: Defensa férrea del territorio que se expresa de forma legal y cultural, donde el enfrentamiento armado es solo una de sus dimensiones. [P-24]</t>
  </si>
  <si>
    <t>UNADM</t>
  </si>
  <si>
    <t>Texto de apoyo académico de la Universidad Abierta y a Distancia de México (UnADM) para la licenciatura en Administración y Gestión Pública.</t>
  </si>
  <si>
    <t>Facultades metaconstitucionales: Se definen como atribuciones informales del presidente (una "constitución material") que le permiten actuar fuera de la norma escrita, como la elección del sucesor o actuar como árbitro último en disputas políticas. [P-35]</t>
  </si>
  <si>
    <t>Texto de apoyo</t>
  </si>
  <si>
    <t>Etnias y pueblos indígenas: Se destaca el papel de los indígenas en la producción y la lucha armada, así como su resistencia y mantenimiento cultural. [P-167]</t>
  </si>
  <si>
    <t>https://dmd.unadmexico.mx/contenidos/DCSA/MODULOS/AGP/M4_AGSPAM/U2/S4/descargables/AGP_M4_U2_S4_TA.pdf</t>
  </si>
  <si>
    <t>Oposición: Surgimiento de movimientos críticos, clubes políticos y planes revolucionarios que comenzaron a cuestionar la falta de libertades y la permanencia de Díaz. [P-8]</t>
  </si>
  <si>
    <t>Resistencia: Capacidad persistente de la nación yaqui para mantenerse en su territorio y conservar su estructura de gobierno a pesar de procesos como el genocidio. [P-20]</t>
  </si>
  <si>
    <t>Poder Legislativo: La obra señala que sus funciones en el sistema presidencial son representar a la ciudadanía, formular leyes y servir de contrapeso al Ejecutivo, aunque históricamente funcionó de forma subordinada. [P-20]</t>
  </si>
  <si>
    <t>Cultura y economía cultural: La cultura es tratada como un "megatema" y una matriz donde se entretejen las demandas de cambio y las manifestaciones artísticas. [P-187]</t>
  </si>
  <si>
    <t>Reelección vitalicia: Proceso por el cual Díaz adecuó las leyes para permanecer indefinidamente en el poder, convirtiendo su mandato en una "monarquía electiva" de facto. [P-6]</t>
  </si>
  <si>
    <t>Deportación: Episodio de injusticia y práctica genocida donde miles de yaquis fueron desplazados de sus tierras, configurando un periodo de "comunidad rota" o dispersa. [P-104]</t>
  </si>
  <si>
    <t>Poder Judicial: Es referido como la pieza esencial del Estado de derecho encargada de la protección del orden constitucional y la administración de justicia, aunque su independencia se vio afectada por influencias políticas en las designaciones de ministros. [P-21]</t>
  </si>
  <si>
    <t>Ideología: Se aborda la diversidad de visiones, ideales y valores que impulsaron la inercia de la revolución. [P-180]</t>
  </si>
  <si>
    <t>Esta obra analiza la evolución del sistema político mexicano desde el Porfiriato hasta la actualidad, destacando la transición del presidencialismo hacia la apertura democrática. Examina la estructura constitucional de 1917, la división de poderes y el sistema federal como bases fundamentales del Estado. Asimismo, evalúa el impacto del corporativismo, el sistema de partidos y las prácticas informales en la legitimidad política nacional. El texto concluye con una reflexión sobre el papel de la administración pública en el rediseño institucional frente a las necesidades sociales vigentes.</t>
  </si>
  <si>
    <t>Régimen Porfirista</t>
  </si>
  <si>
    <t>Antecedentes, porfiriato, Revolución Mexicana, Constitución de 1917, garantías individuales, estructura orgánica, división de poderes, Poder Ejecutivo, presidencialismo, facultades metaconstitucionales, Poder Legislativo, Poder Judicial, sistema federal, entidades federativas, municipios, partidos políticos, sistema de partidos, sistema electoral, socialización política, legitimidad, cultura política, corporativismo, sindicatos, funciones del sistema político.</t>
  </si>
  <si>
    <t>introductorio|intermedio</t>
  </si>
  <si>
    <t>Maderismo: Movimiento democrático encabezado por Francisco I. Madero que movilizó a la ciudadanía bajo el lema del sufragio efectivo para terminar con el autoritarismo. [P-10]</t>
  </si>
  <si>
    <t>Participación política: Ejercicio de supervivencia que utiliza elementos de la cultura política yaqui, destacando el papel de liderazgos en la toma de decisiones colectivas. [P-65]</t>
  </si>
  <si>
    <t>Sistema federal: Se constituye legalmente en el artículo 40 constitucional como una unión de estados libres y soberanos en su régimen interior, pero sujetos a un gobierno federal centralizado en la práctica. [P-22]</t>
  </si>
  <si>
    <t>Nacionalismo y lo nacional: Se analiza el nacionalismo como un programa de desarrollo, autonomía soberana y una meta de regeneración nacional. [P-181]</t>
  </si>
  <si>
    <t>Revolución: Proceso armado convocado ante el fraude electoral de 1910 que logró desarticular el poder militar y político del porfirismo en pocos meses. [P-10]</t>
  </si>
  <si>
    <t>Agencia: Capacidad de actuar de forma independiente y con conciencia reflexiva, demostrada en los procesos de negociación y rebelión. [P-63]</t>
  </si>
  <si>
    <t>La Revolución Mexicana (Tomo I)</t>
  </si>
  <si>
    <t>Entidades federativas: El texto las identifica como las 32 partes integrantes de la federación con jurisdicción y leyes internas propias, encargadas de la administración dentro de sus territorios correspondientes. [P-22]</t>
  </si>
  <si>
    <t>revolucion-mexicana-tomo-1.pdf</t>
  </si>
  <si>
    <t>José C. Valadés</t>
  </si>
  <si>
    <t>Contrarrevolución y negaciones: La obra estudia los esfuerzos por frenar la revolución y critica las tesis que niegan la existencia de un cambio sustantivo. [P-139]</t>
  </si>
  <si>
    <t>Tomo I de la obra póstuma La Revolución y los revolucionarios, titulada La crisis del Porfirismo, escrita por el historiador y periodista mexicano José C. Valadés.</t>
  </si>
  <si>
    <t>https://www.inehrm.gob.mx/work/models/inehrm/Resource/455/1/images/Tomo_I.pdf</t>
  </si>
  <si>
    <t>Renuncia y exilio: Actos finales de Porfirio Díaz en 1911 tras su derrota ante la revolución maderista, lo que marcó el fin de su era y su salida definitiva del país. [P-10]</t>
  </si>
  <si>
    <t>Negociación: Estrategia característica empleada por el pueblo yaqui para dialogar con el poder civil o la sociedad mestiza según las circunstancias. [P-55]</t>
  </si>
  <si>
    <t>Municipios: Señalados como la base de la división territorial y de la organización política de los estados; es el nivel de gobierno con el contacto más directo con las bases sociales. [P-24]</t>
  </si>
  <si>
    <t>Intervención extranjera y Estados Unidos: Se evalúa el impacto continuo y a menudo negativo de las potencias extranjeras, especialmente de los intereses estadounidenses. [P-125]</t>
  </si>
  <si>
    <t>Insurrección: Recurso de acción política utilizado cuando los canales de diálogo se agotaban o eran inexistentes. [P-65]</t>
  </si>
  <si>
    <t>Partidos políticos: Son descritos como organizaciones fundamentales que sirven de intermediación entre la sociedad y el Estado, permitiendo la conformación de órganos de gobierno a través del sistema electoral. [P-24]</t>
  </si>
  <si>
    <t>Actores específicos: El análisis incluye a obreros, élites, clase media, fuerzas armadas y sectores religiosos. [P-111]</t>
  </si>
  <si>
    <t>Esta obra de José C. Valadés analiza la crisis del Porfiriato contrastando la resistencia popular en Tomochic y Chihuahua con la óptica represiva de los archivos de Ramón Corral. El autor utiliza testimonios y fuentes primarias para demostrar que la subestimación del maderismo y la fallida apertura política del régimen catalizaron un descontento social irreversible. El volumen evidencia así el paso de rebeliones localizadas a una insurrección nacional definitiva.</t>
  </si>
  <si>
    <t>Revolución Mexicana</t>
  </si>
  <si>
    <t>Porfirismo, crisis, antecedentes, precursores, maderismo, reyismo, insurrección, Tomochic, Temosachic, Santanón, represión, fuentes, archivos, testimonios, historia oral, espionaje, revolución.</t>
  </si>
  <si>
    <t>Intermedio</t>
  </si>
  <si>
    <t>Reparto agrario: Proceso derivado de la Revolución Mexicana y acentuado en el cardenismo que permitió la recuperación parcial de tierras y formas de vida tradicionales. [P-70]</t>
  </si>
  <si>
    <t>Sistema de partidos: La obra lo define como el espacio de competencia para obtener el poder; destaca que México transitó de un sistema hegemónico (dominado por el PRI) a uno plural y moderado a partir de 1988. [P-26]</t>
  </si>
  <si>
    <t>Modernización: Se discuten las consecuencias de la modernización previa a 1910 y los patrones de resistencia a la misma. [P-134]</t>
  </si>
  <si>
    <t>Liderazgos cardenistas: Nuevos perfiles de dirigentes, a menudo no étnicamente yaquis, que en la década de 1930 adoptaron tácticas modernas de presión política. [P-71]</t>
  </si>
  <si>
    <t>Sistema electoral: Es referido como el conjunto de medios, actores (como el INE y el TEPJF) y procedimientos que transforman la voluntad ciudadana y los votos en cargos de representación política. [P-27]</t>
  </si>
  <si>
    <t>La Revolución Mexicana (Tomo II)</t>
  </si>
  <si>
    <t>revolucion-mexicana-tomo-2.pdf</t>
  </si>
  <si>
    <t>Educación y hegemonía: Se examina la educación como un proyecto de construcción de Estado y un terreno de lucha ideológica. [P-174]</t>
  </si>
  <si>
    <t>Tomo II de la obra póstuma La Revolución y los revolucionarios, titulada Maderismo, una compilación de artículos, entrevistas y reportajes históricos del intelectual sinaloense José C. Valadés (1901-1976)</t>
  </si>
  <si>
    <t>Movimientos electorales: Estrategia de participación política que cobró relevancia durante el cardenismo como vía para continuar la lucha por la tierra. [P-71]</t>
  </si>
  <si>
    <t>https://www.inehrm.gob.mx/work/models/inehrm/Resource/455/1/images/LaRevolucionRevolucionarioTII.pdf</t>
  </si>
  <si>
    <t>Socialización política: El texto la señala como el proceso por el cual las nuevas generaciones adoptan y negocian las normas, valores y conductas aceptadas como legítimas dentro del orden social. [P-28]</t>
  </si>
  <si>
    <t>Lo demográfico y lo espacial: El estudio considera el impacto de los desplazamientos de población, la juventud y el espacio geográfico en el drama revolucionario. [P-183]</t>
  </si>
  <si>
    <t>Protesta pacífica: Táctica de movilización que incluyó marchas, plantones y huelgas de hambre como métodos de presión al poder institucional. [P-92]</t>
  </si>
  <si>
    <t>Legitimidad: Se indica que está directamente vinculada a la eficacia del sistema político y a la creencia de la sociedad de que las instituciones son adecuadas para garantizar estabilidad. [P-28]</t>
  </si>
  <si>
    <t>Violencia: Se reconoce a la violencia como una circunstancia seminal y endémica al poder político en el proceso. [P-161]</t>
  </si>
  <si>
    <t>Mexicanización: Política gubernamental (1935-1951) que buscó la incorporación plena de los yaquis a la nación mexicana mediante la educación, la ciudadanización y el desarrollo económico. [P-144]</t>
  </si>
  <si>
    <t>Cultura política: La obra refiere rasgos como el centralismo, el culto a la personalidad (caudillismo) y la personalización del poder como elementos históricos que configuran la interacción de los mexicanos con el poder. [P-30]</t>
  </si>
  <si>
    <t>Este segundo tomo, editado por el INEHRM, analiza el maderismo mediante artículos y testimonios inéditos rescatados por José C. Valadés. La obra reconstruye la revolución en Sinaloa, los Tratados de Ciudad Juárez y el fin de Francisco I. Madero, desmintiendo versiones oficiales sobre su magnicidio y su supuesto liderazgo débil. Al integrar correspondencia personal y entrevistas a protagonistas exiliados, Valadés ofrece una visión humana y plural que redefine la historiografía del movimiento.</t>
  </si>
  <si>
    <t>Maderismo, revolución, antirreeleccionismo, Plan de San Luis, insurrección, Chihuahua, Sinaloa, Tratados de Ciudad Juárez, porfirismo, negociación, armisticio, renuncia, interinato, Decena Trágica, magnicidio, testimonios, historia oral, fuentes primarias.</t>
  </si>
  <si>
    <t>Autonomía: Búsqueda secular de los yaquis por conservar su desarrollo comunitario y ser los dirigentes de su propio proyecto sociohistórico. [P-163]</t>
  </si>
  <si>
    <t>Corporativismo: Se describe como el sistema mediante el cual el Estado institucionaliza derechos y agrupa sectores sociales (obreros, campesinos) en organizaciones controladas para garantizar apoyo político al régimen. [P-34]</t>
  </si>
  <si>
    <t>Sindicatos: El texto señala que estas organizaciones gremiales (como la CTM) funcionaron como pilares de legitimidad del sistema corporativo, manteniendo una relación vertical y dependiente con el Presidente de la República. [P-36]</t>
  </si>
  <si>
    <t>Funciones del sistema político: Se clasifican según la obra en tres grandes categorías: sistémicas (socialización, reclutamiento), de proceso (articulación de intereses, toma de decisiones) y de políticas (regulación, distribución). [P-38]</t>
  </si>
  <si>
    <t>La Revolución Mexicana (Tomo III)</t>
  </si>
  <si>
    <t>revolucion-mexicana-tomo-3.pdf</t>
  </si>
  <si>
    <t>Tomo III de la obra póstuma La Revolución y los revolucionarios, titulado La revolución constitucionalista, una compilación de artículos, entrevistas y reportajes históricos del periodista e historiador mexicano José C. Valadés.</t>
  </si>
  <si>
    <t>https://inehrm.gob.mx/work/models/inehrm/Resource/455/1/images/Tomo_III.pdf</t>
  </si>
  <si>
    <t>Esta compilación de José C. Valadés analiza la fase constitucionalista de la Revolución Mexicana mediante una innovadora "historia oral" y documental. La obra destaca por su enfoque plural al rescatar testimonios de los "vencidos" de todas las facciones, evitando sesgos partidistas. Al integrar periodismo e investigación de archivos, el autor deconstruye mitos oficiales con una visión fáctica y humana de los procesos históricos.</t>
  </si>
  <si>
    <t>Revolución mexicana, constitucionalismo, historia oral, testimonios, vencidos, facciones, carrancismo, villismo, zapatismo, convencionismo, caudillismo, diplomacia, reconocimiento, exilio, prensa, reportaje histórico, batallas, Bajío, papel moneda, bienes intervenidos, traición, lealtad, Constitución de 1917.</t>
  </si>
  <si>
    <t>Teorizando sobre la Revolución Mexicana</t>
  </si>
  <si>
    <t>teorizando-revolucion-mexicana.pdf</t>
  </si>
  <si>
    <t>Varios autores</t>
  </si>
  <si>
    <t>Texto, titulado Teorizando sobre la Revolución Mexicana: Interpretaciones de sus historiadores y cronistas, es una obra del doctor Juan Gómez-Quiñones editada por el Instituto Nacional de Estudios Históricos de las Revoluciones de México (INEHRM) en 2015.</t>
  </si>
  <si>
    <t>Antología / ensayos</t>
  </si>
  <si>
    <t>https://inehrm.gob.mx/recursos/Libros/TeorizandoSobreRevolucionMex.pdf?utm_source=chatgpt.com</t>
  </si>
  <si>
    <t>Este libro analiza la Revolución Mexicana de 1899 a 1940 como un proceso dinámico de cambio estructural y cultural, y no como un simple evento anecdótico o rebelión trunca. Mediante un "paradigma incluyente", el autor evalúa de forma crítica cuatro tesis historiográficas tradicionales (política, agrarista, de dependencia e indignación moral), señalando que sus enfoques fragmentados subestiman la gestación del movimiento y omiten el impacto de las variables de clase, etnia, raza y género. Asimismo, la obra examina el rol central del poder del Estado, las fuerzas contrarrevolucionarias y la constante, a menudo ignorada, intervención de los intereses de Estados Unidos en el desarrollo y desenlace de la revolución.</t>
  </si>
  <si>
    <t>Teorización e historiografía, Revolución Mexicana, revolución social, movimientos sociales, Estado y poder, género, sexualidad, violencia, raza y racismo, clase social, etnias y pueblos indígenas, cultura y economía cultural, ideología, nacionalismo, contrarrevolución, negaciones, intervención extranjera y Estados Unidos, obreros, élites y clase media, fuerzas armadas, grupos religiosos, hegemonía, educación, demografía y espacio, paradigma incluyente y regeneración nacional.</t>
  </si>
  <si>
    <t>Avanzado</t>
  </si>
  <si>
    <t>Documentos fundamentales de la Revolución Mexicana</t>
  </si>
  <si>
    <t>documentos-fundamentales-revolucion.pdf</t>
  </si>
  <si>
    <t>INEHRM</t>
  </si>
  <si>
    <t>Texto titulado Documentos fundamentales de la Revolución Mexicana, una edición electrónica publicada en 2021 por el Instituto Nacional de Estudios Históricos de las Revoluciones de México (INEHRM).</t>
  </si>
  <si>
    <t>Fuente primaria / documental</t>
  </si>
  <si>
    <t>https://inehrm.gob.mx/recursos/Libros/Documentos_fundamentales_de_la_Revolucion_Mexicana.pdf</t>
  </si>
  <si>
    <t>Esta obra es una antología documental que reúne manifiestos, planes, leyes y decretos esenciales para entender la transformación jurídica y social del movimiento armado de 1910. El compendio analiza la evolución del ideario revolucionario, desde las demandas campesinas y obreras iniciales hasta su institucionalización en la Constitución de 1917 y las posteriores reformas del siglo XX, como la expropiación petrolera y el voto femenino.</t>
  </si>
  <si>
    <t>Plan de San Luis, Plan de Guadalupe, Constitución</t>
  </si>
  <si>
    <t>Historia militar de la Revolución en la época maderista (Tomo I)</t>
  </si>
  <si>
    <t>historia-militar-maderista-tomo-1.pdf</t>
  </si>
  <si>
    <t>Miguel Ángel Sánchez Lamego</t>
  </si>
  <si>
    <t>Crónica / estudio militar</t>
  </si>
  <si>
    <t>pregunta</t>
  </si>
  <si>
    <t>https://inehrm.gob.mx/recursos/Libros/HistoriaMilitarEpocaMaderistaT1.pdf</t>
  </si>
  <si>
    <t>operaciones militares, fases revolucionarias</t>
  </si>
  <si>
    <t>intermedio</t>
  </si>
  <si>
    <t>Historia militar de la Revolución en la época maderista (Tomo II)</t>
  </si>
  <si>
    <t>historia-militar-maderista-tomo-2.pdf</t>
  </si>
  <si>
    <t>https://inehrm.gob.mx/recursos/Libros/HistoriaMilitarEpocaMaderistaT2.pdf</t>
  </si>
  <si>
    <t>Historia militar de la Revolución en la época maderista (Tomo III)</t>
  </si>
  <si>
    <t>historia-militar-maderista-tomo-3.pdf</t>
  </si>
  <si>
    <t>https://inehrm.gob.mx/recursos/Libros/HistoriaMilitarEpocaMaderistaT3.pdf</t>
  </si>
  <si>
    <t>Legitimidad y Contradicción Política</t>
  </si>
  <si>
    <t>Identidad y Memoria</t>
  </si>
  <si>
    <t>Continuidad y Cambio Institucional</t>
  </si>
  <si>
    <t>Orden, Progreso y Costo Social</t>
  </si>
  <si>
    <t>Territorio y Autonomía</t>
  </si>
  <si>
    <t>Poder Formal vs. Poder Material</t>
  </si>
  <si>
    <t>Apertura Democrática y Ruptura</t>
  </si>
  <si>
    <t>Participación Política y Agencia</t>
  </si>
  <si>
    <t>Legitimidad y Control Social</t>
  </si>
  <si>
    <t>La Revolución Mexicana. Un laboratorio visual entre fotógrafos y cámaras</t>
  </si>
  <si>
    <t>revolucion-mexicana-laboratorio-visual.pdf</t>
  </si>
  <si>
    <t>Jehiely Hernández</t>
  </si>
  <si>
    <t>Artículo histórico</t>
  </si>
  <si>
    <t>https://inehrm.gob.mx/es/inehrm/La_Revolucion_Mexicana_Un_laboratorio_visual_entre_fotografos_y_camaras</t>
  </si>
  <si>
    <t>La prensa como instrumento científico en tiempos de la Revolución</t>
  </si>
  <si>
    <t>prensa-instrumento-cientifico-revolucion.pdf</t>
  </si>
  <si>
    <t>Victoria Alejandra Ruiz Vera</t>
  </si>
  <si>
    <t>https://inehrm.gob.mx/es/inehrm/La_prensa_comoinstrumento_tiempos_de_revolucion</t>
  </si>
  <si>
    <t>Durante el Porfiriato y la Revolución Mexicana, la prensa fue un vehículo esencial de difusión y divulgación científica. Se distinguían dos tipos de publicaciones: la prensa especializada, escrita por científicos y naturalistas, y la prensa popular, dirigida a un público general con fines informativos o recreativos.</t>
  </si>
  <si>
    <t>prensa, actores, coyunturas locales</t>
  </si>
  <si>
    <t>Relaciones México-Estados Unidos, 1911-1918</t>
  </si>
  <si>
    <t>relaciones-mexico-eeuu-1911-1918.pdf</t>
  </si>
  <si>
    <t>https://inehrm.gob.mx/es/inehrm/Relaciones_Mexico-Estados_Unidos_1911-1918</t>
  </si>
  <si>
    <t>Las elecciones y el sistema político</t>
  </si>
  <si>
    <t>elecciones-sistema-politico.pdf</t>
  </si>
  <si>
    <t>José Antonio Aguilar Rivera</t>
  </si>
  <si>
    <t>Artículo académico</t>
  </si>
  <si>
    <t>https://historiamexicana.colmex.mx/index.php/RHM/article/view/4313/4529</t>
  </si>
  <si>
    <t>Estado surgido de la Revolución</t>
  </si>
  <si>
    <t>elecciones, sistema político posrevolucionario</t>
  </si>
  <si>
    <t>El sistema político mexicano: la etapa clásica</t>
  </si>
  <si>
    <t>sistema-politico-etapa-clasica.pdf</t>
  </si>
  <si>
    <t>José Carbonell</t>
  </si>
  <si>
    <t>Ensayo / estudio político</t>
  </si>
  <si>
    <t>https://archivos.juridicas.unam.mx/www/bjv/libros/1/181/4.pdf</t>
  </si>
  <si>
    <t>Consolidación del sistema político autoritario</t>
  </si>
  <si>
    <t>presidencialismo, hegemonía, estructuras de poder</t>
  </si>
  <si>
    <t>¿Cómo se explica la contradicción entre la bandera de "no reelección" utilizada por Porfirio Díaz en los planes de La Noria y Tuxtepec para derrocar a sus antecesores, y su posterior permanencia en el cargo por casi tres décadas a través de reformas constitucionales y el control del sistema electoral?</t>
  </si>
  <si>
    <t>avanzado</t>
  </si>
  <si>
    <t>¿De qué manera la "memoria" y los relatos heredados (como los testimonios de las mujeres sobre la deportación y la guerra) funcionan como una herramienta de resistencia para que el pueblo yaqui conserve su identidad frente a los procesos de "mexicanización" e intentos de asimilación del Estado?.</t>
  </si>
  <si>
    <t>¿En qué medida el sistema político mexicano actual es una ruptura o una continuación de las prácticas del Porfiriato, considerando que el texto menciona que el régimen posrevolucionario heredó rasgos como el centralismo, la personalización del poder y el control de los procesos locales?.</t>
  </si>
  <si>
    <t>Bajo el lema positivista de "Orden y Progreso", ¿cuáles fueron los beneficios económicos y de infraestructura resaltados por el régimen, y de qué manera estos contrastaron con la desigualdad social, la entrega de recursos a extranjeros y la represión sistemática de los opositores?</t>
  </si>
  <si>
    <t>¿Cuál es la diferencia entre entender el territorio simplemente como una "propiedad" legal (títulos y reparto agrario) y la noción yaqui de "territorialidad" simbólica, y cómo ha influido el significado del río y el valle en su lucha histórica por la autonomía?</t>
  </si>
  <si>
    <t>¿Cuál es la diferencia entre las facultades constitucionales del Presidente (establecidas en la Carta Magna de 1917) y sus "facultades metaconstitucionales", y de qué manera estas últimas permitieron que la figura presidencial dominara históricamente al Poder Legislativo y Judicial a pesar de la división de poderes legal?.</t>
  </si>
  <si>
    <t>Sistema político mexicano: desarrollo y reacomodo del poder</t>
  </si>
  <si>
    <t>sistema-politico-desarrollo-poder.pdf</t>
  </si>
  <si>
    <t>Juan Pablo Navarrete Vela</t>
  </si>
  <si>
    <t>Tomando en cuenta las declaraciones de Díaz en la entrevista Creelman sobre la madurez democrática de México, ¿por qué el incumplimiento de su palabra y su séptima reelección agotaron la vía pacífica e institucional, dejando a grupos como el maderismo la lucha armada como única opción para derrocar a la dictadura?</t>
  </si>
  <si>
    <t>Al observar la evolución histórica de la tribu, ¿cómo se manifiestan la "agencia" y la "negociación" en el cambio de sus tácticas de lucha, pasando de las insurrecciones armadas y la guerra a la participación en movimientos electorales y protestas pacíficas durante el siglo XX?.</t>
  </si>
  <si>
    <t>¿Cómo funcionó el corporativismo como un mecanismo de legitimidad para el Estado mexicano al agrupar a sectores como obreros y campesinos en confederaciones (CNC, CTM, CNOP), y por qué el texto sugiere que este modelo de "institucionalización desde arriba" debilitó la autonomía de la sociedad civil frente al gobierno?.</t>
  </si>
  <si>
    <t>https://www.redalyc.org/pdf/2110/211015582008.pdf</t>
  </si>
  <si>
    <t>Neoliberalismo y alternancia</t>
  </si>
  <si>
    <t>transiciones políticas, reformas electorales</t>
  </si>
  <si>
    <t>Sobre Soledad Loaeza, 'A la sombra de la superpotencia'</t>
  </si>
  <si>
    <t>loaeza-sombra-superpotencia.pdf</t>
  </si>
  <si>
    <t>Pablo Kalax Orozco Barriga</t>
  </si>
  <si>
    <t>Artículo / reseña historiográfica</t>
  </si>
  <si>
    <t>https://historiamexicana.colmex.mx/index.php/RHM/article/view/4562?utm_source=chatgpt.com</t>
  </si>
  <si>
    <t>sugerencia</t>
  </si>
  <si>
    <t>transición, política, neoliberalismo</t>
  </si>
  <si>
    <t>Porfirio Díaz (1830–1915): La Constitución, la dictadura y la reelección</t>
  </si>
  <si>
    <t>diaz-constitucion-dictadura-reeleccion.pdf</t>
  </si>
  <si>
    <t>Imer B. Flores</t>
  </si>
  <si>
    <t>Ensayo académico (ponencia revisada) en libro/colectivo</t>
  </si>
  <si>
    <t>https://archivos.juridicas.unam.mx/www/bjv/libros/9/4121/9.pdf</t>
  </si>
  <si>
    <t>constitución, dictadura, reelección, porfirismo, presidencialismo, legalismo</t>
  </si>
  <si>
    <t>lectura_20</t>
  </si>
  <si>
    <t>Felipe Ángeles: El general revolucionario y el generoso académico. Entre la milicia, la física y las matemáticas</t>
  </si>
  <si>
    <t>Uso de fuentes primarias y testimonios: Fomentar la empatía y la comprensión histórica a través del análisis de los relatos de las mujeres yaquis sobre la deportación y la guerra. El docente puede proponer un ejercicio de comparación entre estos testimonios orales y los documentos oficiales del Estado de la misma época para identificar contradicciones y "silencios" en la historia oficial.</t>
  </si>
  <si>
    <t>angeles-felipe-milicia-matematicas.pdf</t>
  </si>
  <si>
    <t>Faustino Sánchez Garduño</t>
  </si>
  <si>
    <t>https://www.inehrm.gob.mx/recursos/Libros/2024_felipe_angeles_elgral_revolucionario_yel_generoso_academico.pdf</t>
  </si>
  <si>
    <t>Mapeo simbólico del territorio: Realizar una actividad de cartografía social donde los estudiantes no solo ubiquen geográficamente los ocho pueblos yaquis, sino que identifiquen y marquen el valor simbólico de elementos como el río, la sierra y el valle. Esto permite pasar del concepto de "territorio-propiedad" al de "territorialidad e imaginario" que plantea el texto.</t>
  </si>
  <si>
    <t>Análisis de la evolución de las tácticas de lucha: Organizar un debate o línea del tiempo comparativa sobre los tipos de liderazgo y métodos de acción política. Los estudiantes pueden analizar el tránsito de la insurrección armada (como la de Cajeme o Tetabiate) hacia las tácticas modernas del siglo XX (movimientos electorales, protestas pacíficas e invasiones de tierras) bajo la influencia de líderes cardenistas.</t>
  </si>
  <si>
    <t>Debate sobre la "Mexicanización" vs. Autonomía: Plantear un debate sobre el proyecto de asimilación del Estado (1935-1951) que buscaba integrar a los yaquis como ciudadanos individuales frente a la demanda histórica de la tribu de ser reconocida como una nación con autonomía y autodeterminación. Esto ayuda a discutir conceptos actuales de ciudadanía, multiculturalidad y derechos de los pueblos originarios.</t>
  </si>
  <si>
    <t>Investigación sobre el presente (Arqueología de la identidad): Motivar a los estudiantes a investigar conflictos actuales, como el del Acueducto Independencia o el Plan de Justicia para el Pueblo Yaqui, vinculándolos con las categorías de "agencia", "resistencia" y "negociación" identificadas en la obra.</t>
  </si>
  <si>
    <t>Identificación de "Significaciones Imaginario-Sociales": Se recomienda a los estudiantes buscar en el texto ejemplos de cómo elementos naturales como el río, el valle o la sierra no son solo recursos económicos, sino que forman parte del "imaginario" y la identidad del pueblo yaqui. Esto les ayudará a comprender que el territorio es una construcción social cargada de emociones y simbolismos.</t>
  </si>
  <si>
    <t>Análisis Comparativo de Liderazgos: Es útil que los estudiantes elaboren un cuadro comparativo entre los líderes guerreros del siglo XIX (como Cajeme o Tetabiate) y los líderes agraristas del siglo XX (como Jacinto López o Maximiliano López). Deben prestar atención a cómo cambiaron las tácticas: de la insurrección armada a la protesta pacífica y la participación electoral.</t>
  </si>
  <si>
    <t>Escucha Activa de la "Posmemoria": Al leer el capítulo sobre las historias heredadas de las mujeres yaquis, se sugiere a los estudiantes reflexionar sobre cómo los relatos de eventos traumáticos (como la deportación a Yucatán) se transmiten de generación en generación para evitar el olvido. Pueden preguntarse: ¿Cómo influye el dolor del pasado en la forma en que los yaquis ven al Estado mexicano hoy en día?.</t>
  </si>
  <si>
    <t>Glosa de Conceptos Etnográficos: Para facilitar la lectura, los estudiantes deben crear un glosario con términos propios de la cultura, como Yoeme (gente), Yori (no yaqui/enemigo) e Inim Bwan Bwia (esta tierra de llanto). Comprender estos términos es clave para entender la visión del mundo (cosmovisión) que defiende la tribu.</t>
  </si>
  <si>
    <t>Rastreo de la "Agencia" Política: Se recomienda identificar momentos en el texto donde los yaquis no aparecen solo como víctimas, sino como actores con agencia, es decir, con capacidad de negociar, aliarse con facciones revolucionarias o interponer recursos legales ante organismos internacionales para defender sus derechos.</t>
  </si>
  <si>
    <t>Relación Pasado-Presente: Se sugiere que los estudiantes investiguen noticias actuales sobre el Plan de Justicia para el Pueblo Yaqui o el conflicto por el agua en el Acueducto Independencia. El objetivo es aplicar conceptos del libro como "autonomía" y "resistencia" a problemas reales y contemporáneos de la tribu.</t>
  </si>
  <si>
    <t>actividad</t>
  </si>
  <si>
    <t>Cartografía Social y Simbólica del Territorio: Los estudiantes, organizados en equipos, deben crear un mapa de gran formato que no solo ubique geográficamente los ocho pueblos yaquis y los recursos naturales como el río Yaqui y la sierra del Bacatete, sino que también incluya elementos del "imaginario" y la "territorialidad". Deben añadir ilustraciones o conceptos que representen el valor simbólico de estos lugares (como el "árbol parlante" o la "tierra de llanto") para comprender que el territorio es una construcción social y emocional, no solo una extensión de tierra legal.</t>
  </si>
  <si>
    <t>Laboratorio de "Posmemoria" y Tradición Oral: A partir del capítulo sobre las historias heredadas de las mujeres yaquis, cada equipo seleccionará un testimonio específico de deportación o guerra. Los alumnos realizarán una representación creativa (puede ser un podcast narrativo, un monólogo dramático o una instalación visual) que reflexione sobre cómo estos relatos funcionan como un mecanismo de resistencia contra el olvido de las atrocidades y cómo fortalecen la identidad yoeme en el presente.</t>
  </si>
  <si>
    <t>Debate de Roles: "Mexicanización" vs. Autonomía: Se dividirá al grupo en dos posturas históricas situadas entre 1935 y 1951. Una parte defenderá los argumentos del Estado mexicano para integrar a los yaquis mediante la educación, el servicio militar y la ciudadanización (proyecto de "mexicanización"). La otra parte asumirá el papel de los líderes tradicionalistas que buscaban conservar su autonomía y autogobierno basados en la "tradición" y el derecho histórico sobre sus tierras. El objetivo es analizar las tensiones en la construcción de la identidad nacional.</t>
  </si>
  <si>
    <t>Foro Comparativo de Liderazgos y Tácticas de Lucha: Los estudiantes investigarán y compararán, en un panel de discusión, las figuras de líderes guerreros del siglo XIX (como Cajeme o Tetabiate) frente a los líderes agraristas y cardenistas del siglo XX (como Jacinto López o Luis Matus). Deberán discutir cómo la "agencia" yaqui ha evolucionado desde la insurrección armada y la guerra de guerrillas hasta la protesta pacífica, los movimientos electorales y la ocupación de tierras como métodos de presión política.</t>
  </si>
  <si>
    <t>Simposio de "Arqueología de la Identidad" Contemporánea: Utilizando el modelo de "continuidad y discontinuidad", los equipos elegirán un conflicto actual de la tribu yaqui (como el Acueducto Independencia, el Plan de Justicia o la lucha por el agua). Los estudiantes deben analizar este problema "desde el presente hacia el pasado", identificando qué elementos de la resistencia histórica (como la defensa del río o la negociación con el poder) siguen vigentes y qué aspectos han cambiado drásticamente debido a la modernidad y el despojo actual.</t>
  </si>
  <si>
    <t>integracion</t>
  </si>
  <si>
    <t>articulación</t>
  </si>
  <si>
    <t>La lectura Yaquis: memoria, territorio y participación política se clasifica como un texto de nivel avanzado, con una complejidad discursiva moderada-alta y de carácter extenso o de consulta focalizada. Por lo tanto, su integración en el sistema de evaluación no debe basarse en cuestionarios de memorización simple, sino que debe apuntar al desarrollo del pensamiento crítico, la argumentación y la reflexión ética.</t>
  </si>
  <si>
    <t>Evaluación PARA el aprendizaje (Formativa) [EPA]: Este tipo de evaluación ocurre durante el proceso educativo para retroalimentar, guiar la comprensión y fomentar actitudes y valores. Dado que la lectura es analítica y extensa, se puede integrar de las siguientes maneras.</t>
  </si>
  <si>
    <t>EPA 1. Listado de preguntas orientadoras y críticas: Se pueden utilizar las preguntas clave de la Ficha Pedagógica (por ejemplo, sobre la noción de territorio, las tácticas de supervivencia y el rol de las mujeres yaquis en la preservación de la memoria) para abrir foros virtuales, discusiones guiadas o seminarios en clase. Esto permite al docente evaluar formativamente la comprensión lectora y la capacidad de análisis del estudiante.</t>
  </si>
  <si>
    <t>EPA 2. Trabajo colaborativo por fragmentos (Jigsaw): Al ser una lectura extensa, el docente puede evaluar el proceso de investigación y síntesis dividiendo los capítulos por equipos. La evaluación formativa se da mientras el docente observa cómo cada equipo extrae la información de su fragmento (por ejemplo, un equipo analiza el exterminio porfirista y otro el reparto cardenista) y la discute para llegar a conclusiones conjuntas.</t>
  </si>
  <si>
    <t>EPA 3. Desarrollo de valores y actitudes: La lectura es un vehículo excelente para evaluar formativamente, a través del diálogo, si el estudiante asume una postura informada y de respeto a la diversidad social, cultural y étnica, así como su sensibilidad ante la injusticia y la desigualdad (elementos exigidos por el perfil de egreso)</t>
  </si>
  <si>
    <t>Evaluación DEL aprendizaje (Sumativa / Evidencias de Desempeño) [EDA]: Esta evaluación busca comprobar y calificar el nivel de competencia alcanzado a través de productos tangibles. Según el programa de estudios y los criterios de curaduría, esta lectura alimenta directamente evidencias de alto rigor analítico.</t>
  </si>
  <si>
    <t>EDA 1: Ensayos o informes escritos críticos: Como lectura analítica y argumentativa, es el insumo principal para redactar ensayos. Por ejemplo, el alumno puede elaborar un ensayo donde evalúe las causas de las rebeliones yaquis durante el porfiriato (Unidad 1) o contraste las promesas del Estado posrevolucionario con la realidad del reparto agrario cardenista (Unidad 3). El ensayo permite evaluar si el alumno "ofrece un contexto histórico y detallado", y si argumenta con coherencia y profundidad.</t>
  </si>
  <si>
    <t>EDA 2:  Exposición oral argumentada (con postura sustentada): Los estudiantes pueden integrar los hallazgos de su lectura por fragmentos en una presentación grupal frente al grupo. Se evaluará su capacidad para organizar información compleja, explicar el contenido históricamente y defender una postura frente a problemas contemporáneos (como el conflicto actual por el agua en territorio yaqui).</t>
  </si>
  <si>
    <t>EDA 3: Producto audiovisual (Video corto o podcast): Se puede solicitar a los estudiantes que elaboren una cápsula informativa o guion de video. Por ejemplo, basándose en los testimonios sobre las mujeres yaquis, los estudiantes pueden narrar el trauma de la deportación a Yucatán, evaluando así su capacidad para "utilizar las tecnologías de la información para producir materiales y expresar ideas" de forma empática y crítica.</t>
  </si>
  <si>
    <r>
      <rPr>
        <rFont val="Calibri"/>
        <b/>
        <color theme="1"/>
      </rPr>
      <t>Contraste analítico con fuentes primarias (Aprendizaje Activo)</t>
    </r>
    <r>
      <rPr>
        <rFont val="Calibri"/>
        <color theme="1"/>
      </rPr>
      <t>: La lectura de los yaquis puede integrarse directamente con el texto Documentos fundamentales de la Revolución Mexicana. Los estudiantes pueden cruzar el análisis académico moderno sobre la participación política yaqui con los recortes hemerográficos de 1911 y 1921, tales como los artículos "La paz con los yaquis" y "Los yaquis solamente buscan la autonomía de sus ayuntamientos". Esta confrontación de materiales permite al alumnado ejercer un análisis crítico de fuentes primarias, debatiendo activamente cómo la prensa y el Estado percibían las demandas de autonomía indígena frente a las promesas de los caudillos revolucionarios</t>
    </r>
  </si>
  <si>
    <r>
      <rPr>
        <rFont val="Calibri"/>
        <b/>
        <color theme="1"/>
      </rPr>
      <t>Mapeo de las resistencias rurales e indígenas (Aprendizaje Colaborativo)</t>
    </r>
    <r>
      <rPr>
        <rFont val="Calibri"/>
        <color theme="1"/>
      </rPr>
      <t>: Aprovechando la vastedad del repositorio, el docente puede emplear el trabajo colaborativo fragmentado. Un equipo puede analizar la resistencia y deportación yaqui frente al modelo agroindustrial porfirista; otro equipo puede estudiar la rebelión campesina-religiosa de Tomóchic inspirada por Teresa Urrea, utilizando La Revolución y los revolucionarios. Tomo I; y un tercer equipo puede examinar el radicalismo agrario del Plan de Ayala y la Ley Agraria de 1915. Al reunir sus hallazgos en plenaria, los estudiantes construyen colaborativamente una matriz de las luchas sociales, identificando cómo las distintas comunidades rurales enfrentaron el despojo territorial, comparando sus metas, liderazgos y tácticas (insurrección armada vs. resistencia pacífica)</t>
    </r>
  </si>
  <si>
    <r>
      <rPr>
        <rFont val="Calibri"/>
        <b/>
        <color theme="1"/>
      </rPr>
      <t>Evolución de la política de Estado y problemas actuales (Aprendizaje Significativo)</t>
    </r>
    <r>
      <rPr>
        <rFont val="Calibri"/>
        <color theme="1"/>
      </rPr>
      <t>: Para anclar el conocimiento histórico en la realidad presente del estudiante, el debate sobre si se debía "¿Mexicanizar al yaqui?" mediante políticas de asimilación cardenistas puede vincularse con las reflexiones de Teorizando sobre la Revolución Mexicana respecto al papel soslayado de las etnias y la creación del Departamento de Asuntos Indígenas. A esto se suma el temor expresado en la correspondencia de Venustiano Carranza ante la inminente rebelión yaqui si no se les devolvían sus tierras.</t>
    </r>
  </si>
  <si>
    <r>
      <rPr>
        <rFont val="Calibri"/>
        <b/>
        <color theme="1"/>
      </rPr>
      <t>Síntesis</t>
    </r>
    <r>
      <rPr>
        <rFont val="Calibri"/>
        <color theme="1"/>
      </rPr>
      <t>: Al relacionar los textos antes mencionados, el estudiante logra comprender la histórica tensión entre el Estado nacionalista homogeneizador y la exigencia de autonomía territorial indígena. Este aprendizaje cobra profundo significado al aterrizar en la lectura sobre la resistencia yaqui en pleno siglo XXI frente a megaproyectos contemporáneos como el "Acueducto Independencia", demostrando que los conflictos por los recursos naturales y el territorio son una continuidad histórica que impacta el presente.</t>
    </r>
  </si>
  <si>
    <t>&gt;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</si>
</sst>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font>
    <font>
      <b/>
      <sz val="11.0"/>
      <color theme="1"/>
      <name val="Calibri"/>
    </font>
    <font>
      <color theme="1"/>
      <name val="Arial"/>
    </font>
    <font>
      <u/>
      <sz val="11.0"/>
      <color rgb="FF0000FF"/>
      <name val="Calibri"/>
    </font>
    <font>
      <u/>
      <sz val="11.0"/>
      <color theme="10"/>
      <name val="Calibri"/>
    </font>
    <font>
      <strike/>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2" numFmtId="0" xfId="0" applyAlignment="1" applyBorder="1" applyFont="1">
      <alignment horizontal="center" vertical="center"/>
    </xf>
    <xf borderId="0" fillId="0" fontId="1" numFmtId="0" xfId="0" applyAlignment="1" applyFont="1">
      <alignment vertical="center"/>
    </xf>
    <xf borderId="0" fillId="0" fontId="1" numFmtId="0" xfId="0" applyAlignment="1" applyFont="1">
      <alignment horizontal="center" vertical="center"/>
    </xf>
    <xf borderId="0" fillId="0" fontId="3" numFmtId="0" xfId="0" applyAlignment="1" applyFont="1">
      <alignment vertical="bottom"/>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ehrm.gob.mx/recursos/Libros/2024_felipe_angeles_elgral_revolucionario_yel_generoso_academico.pdf" TargetMode="External"/><Relationship Id="rId11" Type="http://schemas.openxmlformats.org/officeDocument/2006/relationships/hyperlink" Target="https://inehrm.gob.mx/recursos/Libros/HistoriaMilitarEpocaMaderistaT3.pdf" TargetMode="External"/><Relationship Id="rId10" Type="http://schemas.openxmlformats.org/officeDocument/2006/relationships/hyperlink" Target="https://inehrm.gob.mx/recursos/Libros/HistoriaMilitarEpocaMaderistaT2.pdf" TargetMode="External"/><Relationship Id="rId21" Type="http://schemas.openxmlformats.org/officeDocument/2006/relationships/drawing" Target="../drawings/drawing1.xml"/><Relationship Id="rId13" Type="http://schemas.openxmlformats.org/officeDocument/2006/relationships/hyperlink" Target="https://inehrm.gob.mx/es/inehrm/La_prensa_comoinstrumento_tiempos_de_revolucion" TargetMode="External"/><Relationship Id="rId12" Type="http://schemas.openxmlformats.org/officeDocument/2006/relationships/hyperlink" Target="https://inehrm.gob.mx/es/inehrm/La_Revolucion_Mexicana_Un_laboratorio_visual_entre_fotografos_y_camaras" TargetMode="External"/><Relationship Id="rId1" Type="http://schemas.openxmlformats.org/officeDocument/2006/relationships/hyperlink" Target="https://www.inehrm.gob.mx/es/inehrm/La_Dictadura_Porfirista" TargetMode="External"/><Relationship Id="rId2" Type="http://schemas.openxmlformats.org/officeDocument/2006/relationships/hyperlink" Target="https://www.inehrm.gob.mx/recursos/Libros/2025_yaquis_memoria_territorio_yparticipacion_politica.pdf" TargetMode="External"/><Relationship Id="rId3" Type="http://schemas.openxmlformats.org/officeDocument/2006/relationships/hyperlink" Target="https://dmd.unadmexico.mx/contenidos/DCSA/MODULOS/AGP/M4_AGSPAM/U2/S4/descargables/AGP_M4_U2_S4_TA.pdf" TargetMode="External"/><Relationship Id="rId4" Type="http://schemas.openxmlformats.org/officeDocument/2006/relationships/hyperlink" Target="https://www.inehrm.gob.mx/work/models/inehrm/Resource/455/1/images/Tomo_I.pdf" TargetMode="External"/><Relationship Id="rId9" Type="http://schemas.openxmlformats.org/officeDocument/2006/relationships/hyperlink" Target="https://inehrm.gob.mx/recursos/Libros/HistoriaMilitarEpocaMaderistaT1.pdf" TargetMode="External"/><Relationship Id="rId15" Type="http://schemas.openxmlformats.org/officeDocument/2006/relationships/hyperlink" Target="https://historiamexicana.colmex.mx/index.php/RHM/article/view/4313/4529" TargetMode="External"/><Relationship Id="rId14" Type="http://schemas.openxmlformats.org/officeDocument/2006/relationships/hyperlink" Target="https://inehrm.gob.mx/es/inehrm/Relaciones_Mexico-Estados_Unidos_1911-1918" TargetMode="External"/><Relationship Id="rId17" Type="http://schemas.openxmlformats.org/officeDocument/2006/relationships/hyperlink" Target="https://www.redalyc.org/pdf/2110/211015582008.pdf" TargetMode="External"/><Relationship Id="rId16" Type="http://schemas.openxmlformats.org/officeDocument/2006/relationships/hyperlink" Target="https://archivos.juridicas.unam.mx/www/bjv/libros/1/181/4.pdf" TargetMode="External"/><Relationship Id="rId5" Type="http://schemas.openxmlformats.org/officeDocument/2006/relationships/hyperlink" Target="https://www.inehrm.gob.mx/work/models/inehrm/Resource/455/1/images/LaRevolucionRevolucionarioTII.pdf" TargetMode="External"/><Relationship Id="rId19" Type="http://schemas.openxmlformats.org/officeDocument/2006/relationships/hyperlink" Target="https://archivos.juridicas.unam.mx/www/bjv/libros/9/4121/9.pdf" TargetMode="External"/><Relationship Id="rId6" Type="http://schemas.openxmlformats.org/officeDocument/2006/relationships/hyperlink" Target="https://inehrm.gob.mx/work/models/inehrm/Resource/455/1/images/Tomo_III.pdf" TargetMode="External"/><Relationship Id="rId18" Type="http://schemas.openxmlformats.org/officeDocument/2006/relationships/hyperlink" Target="https://historiamexicana.colmex.mx/index.php/RHM/article/view/4562?utm_source=chatgpt.com" TargetMode="External"/><Relationship Id="rId7" Type="http://schemas.openxmlformats.org/officeDocument/2006/relationships/hyperlink" Target="https://inehrm.gob.mx/recursos/Libros/TeorizandoSobreRevolucionMex.pdf?utm_source=chatgpt.com" TargetMode="External"/><Relationship Id="rId8" Type="http://schemas.openxmlformats.org/officeDocument/2006/relationships/hyperlink" Target="https://inehrm.gob.mx/recursos/Libros/Documentos_fundamentales_de_la_Revolucion_Mexicana.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2" width="17.14"/>
    <col customWidth="1" min="3" max="4" width="60.43"/>
    <col customWidth="1" min="5" max="5" width="35.71"/>
    <col customWidth="1" min="6" max="6" width="37.14"/>
    <col customWidth="1" min="7" max="7" width="16.86"/>
    <col customWidth="1" min="8" max="8" width="49.14"/>
    <col customWidth="1" min="9" max="9" width="26.86"/>
    <col customWidth="1" min="10" max="10" width="129.0"/>
    <col customWidth="1" min="11" max="11" width="95.57"/>
    <col customWidth="1" min="12" max="12" width="39.43"/>
    <col customWidth="1" min="13" max="13" width="64.43"/>
    <col customWidth="1" min="14" max="14" width="23.57"/>
    <col customWidth="1" min="15" max="15" width="57.29"/>
    <col customWidth="1" min="16" max="16" width="68.29"/>
    <col customWidth="1" min="17" max="17" width="71.43"/>
    <col customWidth="1" min="18" max="18" width="68.86"/>
    <col customWidth="1" min="19" max="19" width="74.57"/>
    <col customWidth="1" min="20" max="20" width="98.0"/>
    <col customWidth="1" min="21" max="27" width="8.71"/>
  </cols>
  <sheetData>
    <row r="1">
      <c r="A1" s="2" t="s">
        <v>0</v>
      </c>
      <c r="B1" s="2" t="s">
        <v>3</v>
      </c>
      <c r="C1" s="3" t="s">
        <v>5</v>
      </c>
      <c r="D1" s="3" t="s">
        <v>6</v>
      </c>
      <c r="E1" s="3" t="s">
        <v>7</v>
      </c>
      <c r="F1" s="3" t="s">
        <v>8</v>
      </c>
      <c r="G1" s="3" t="s">
        <v>9</v>
      </c>
      <c r="H1" s="3" t="s">
        <v>10</v>
      </c>
      <c r="I1" s="3" t="s">
        <v>11</v>
      </c>
      <c r="J1" s="3" t="s">
        <v>12</v>
      </c>
      <c r="K1" s="3" t="s">
        <v>13</v>
      </c>
      <c r="L1" s="3" t="s">
        <v>14</v>
      </c>
      <c r="M1" s="3" t="s">
        <v>15</v>
      </c>
      <c r="N1" s="3" t="s">
        <v>16</v>
      </c>
      <c r="O1" s="3"/>
      <c r="P1" s="3"/>
      <c r="Q1" s="3"/>
      <c r="R1" s="3"/>
      <c r="S1" s="3"/>
      <c r="T1" s="3"/>
      <c r="U1" s="4"/>
      <c r="V1" s="4"/>
      <c r="W1" s="4"/>
      <c r="X1" s="4"/>
      <c r="Y1" s="4"/>
      <c r="Z1" s="4"/>
      <c r="AA1" s="4"/>
    </row>
    <row r="2">
      <c r="A2" s="5" t="str">
        <f t="shared" ref="A2:A21" si="1">"HIST2_"&amp;TEXT(ROWS(A$1:B1),"0000")</f>
        <v>HIST2_0001</v>
      </c>
      <c r="B2" s="5" t="str">
        <f t="shared" ref="B2:B20" si="2">"lectura_"&amp;ROWS($B$1:B1)</f>
        <v>lectura_1</v>
      </c>
      <c r="C2" s="4" t="s">
        <v>28</v>
      </c>
      <c r="D2" s="6" t="s">
        <v>29</v>
      </c>
      <c r="E2" s="4" t="s">
        <v>32</v>
      </c>
      <c r="F2" s="1" t="s">
        <v>34</v>
      </c>
      <c r="G2" s="4">
        <v>2015.0</v>
      </c>
      <c r="H2" s="4" t="s">
        <v>38</v>
      </c>
      <c r="I2" s="4" t="s">
        <v>39</v>
      </c>
      <c r="J2" s="7" t="s">
        <v>41</v>
      </c>
      <c r="K2" s="4" t="s">
        <v>65</v>
      </c>
      <c r="L2" s="4" t="s">
        <v>66</v>
      </c>
      <c r="M2" s="4" t="s">
        <v>68</v>
      </c>
      <c r="N2" s="4" t="s">
        <v>70</v>
      </c>
      <c r="O2" s="4"/>
      <c r="P2" s="4"/>
      <c r="Q2" s="4"/>
      <c r="R2" s="4"/>
      <c r="S2" s="4"/>
      <c r="T2" s="4"/>
      <c r="U2" s="4"/>
      <c r="V2" s="4"/>
      <c r="W2" s="4"/>
      <c r="X2" s="4"/>
      <c r="Y2" s="4"/>
      <c r="Z2" s="4"/>
      <c r="AA2" s="4"/>
    </row>
    <row r="3">
      <c r="A3" s="5" t="str">
        <f t="shared" si="1"/>
        <v>HIST2_0002</v>
      </c>
      <c r="B3" s="5" t="str">
        <f t="shared" si="2"/>
        <v>lectura_2</v>
      </c>
      <c r="C3" s="4" t="s">
        <v>81</v>
      </c>
      <c r="D3" s="6" t="s">
        <v>82</v>
      </c>
      <c r="E3" s="4" t="s">
        <v>84</v>
      </c>
      <c r="F3" s="4" t="s">
        <v>86</v>
      </c>
      <c r="G3" s="4">
        <v>2025.0</v>
      </c>
      <c r="H3" s="4" t="s">
        <v>88</v>
      </c>
      <c r="I3" s="4" t="s">
        <v>39</v>
      </c>
      <c r="J3" s="7" t="s">
        <v>90</v>
      </c>
      <c r="K3" s="4" t="s">
        <v>98</v>
      </c>
      <c r="L3" s="4" t="s">
        <v>100</v>
      </c>
      <c r="M3" s="4" t="s">
        <v>101</v>
      </c>
      <c r="N3" s="4" t="s">
        <v>103</v>
      </c>
      <c r="O3" s="4"/>
      <c r="P3" s="4"/>
      <c r="Q3" s="4"/>
      <c r="R3" s="4"/>
      <c r="S3" s="4"/>
      <c r="T3" s="4"/>
      <c r="U3" s="4"/>
      <c r="V3" s="4"/>
      <c r="W3" s="4"/>
      <c r="X3" s="4"/>
      <c r="Y3" s="4"/>
      <c r="Z3" s="4"/>
      <c r="AA3" s="4"/>
    </row>
    <row r="4">
      <c r="A4" s="5" t="str">
        <f t="shared" si="1"/>
        <v>HIST2_0003</v>
      </c>
      <c r="B4" s="5" t="str">
        <f t="shared" si="2"/>
        <v>lectura_3</v>
      </c>
      <c r="C4" s="4" t="s">
        <v>108</v>
      </c>
      <c r="D4" s="6" t="s">
        <v>110</v>
      </c>
      <c r="E4" s="4" t="s">
        <v>112</v>
      </c>
      <c r="F4" s="4" t="s">
        <v>113</v>
      </c>
      <c r="G4" s="4">
        <v>2016.0</v>
      </c>
      <c r="H4" s="4" t="s">
        <v>115</v>
      </c>
      <c r="I4" s="4" t="s">
        <v>39</v>
      </c>
      <c r="J4" s="7" t="s">
        <v>117</v>
      </c>
      <c r="K4" s="4" t="s">
        <v>126</v>
      </c>
      <c r="L4" s="4" t="s">
        <v>127</v>
      </c>
      <c r="M4" s="4" t="s">
        <v>128</v>
      </c>
      <c r="N4" s="4" t="s">
        <v>129</v>
      </c>
      <c r="O4" s="4"/>
      <c r="P4" s="4"/>
      <c r="Q4" s="4"/>
      <c r="R4" s="4"/>
      <c r="S4" s="4"/>
      <c r="T4" s="4"/>
      <c r="U4" s="4"/>
      <c r="V4" s="4"/>
      <c r="W4" s="4"/>
      <c r="X4" s="4"/>
      <c r="Y4" s="4"/>
      <c r="Z4" s="4"/>
      <c r="AA4" s="4"/>
    </row>
    <row r="5">
      <c r="A5" s="5" t="str">
        <f t="shared" si="1"/>
        <v>HIST2_0004</v>
      </c>
      <c r="B5" s="5" t="str">
        <f t="shared" si="2"/>
        <v>lectura_4</v>
      </c>
      <c r="C5" s="4" t="s">
        <v>136</v>
      </c>
      <c r="D5" s="6" t="s">
        <v>138</v>
      </c>
      <c r="E5" s="4" t="s">
        <v>139</v>
      </c>
      <c r="F5" s="4" t="s">
        <v>141</v>
      </c>
      <c r="G5" s="4">
        <v>2014.0</v>
      </c>
      <c r="H5" s="4" t="s">
        <v>88</v>
      </c>
      <c r="I5" s="4" t="s">
        <v>39</v>
      </c>
      <c r="J5" s="7" t="s">
        <v>142</v>
      </c>
      <c r="K5" s="4" t="s">
        <v>150</v>
      </c>
      <c r="L5" s="4" t="s">
        <v>151</v>
      </c>
      <c r="M5" s="4" t="s">
        <v>152</v>
      </c>
      <c r="N5" s="4" t="s">
        <v>153</v>
      </c>
      <c r="O5" s="4"/>
      <c r="P5" s="4"/>
      <c r="Q5" s="4"/>
      <c r="R5" s="4"/>
      <c r="S5" s="4"/>
      <c r="T5" s="4"/>
      <c r="U5" s="4"/>
      <c r="V5" s="4"/>
      <c r="W5" s="4"/>
      <c r="X5" s="4"/>
      <c r="Y5" s="4"/>
      <c r="Z5" s="4"/>
      <c r="AA5" s="4"/>
    </row>
    <row r="6">
      <c r="A6" s="5" t="str">
        <f t="shared" si="1"/>
        <v>HIST2_0005</v>
      </c>
      <c r="B6" s="5" t="str">
        <f t="shared" si="2"/>
        <v>lectura_5</v>
      </c>
      <c r="C6" s="4" t="s">
        <v>159</v>
      </c>
      <c r="D6" s="6" t="s">
        <v>160</v>
      </c>
      <c r="E6" s="4" t="s">
        <v>139</v>
      </c>
      <c r="F6" s="4" t="s">
        <v>162</v>
      </c>
      <c r="G6" s="4">
        <v>2014.0</v>
      </c>
      <c r="H6" s="4" t="s">
        <v>88</v>
      </c>
      <c r="I6" s="4" t="s">
        <v>39</v>
      </c>
      <c r="J6" s="7" t="s">
        <v>164</v>
      </c>
      <c r="K6" s="4" t="s">
        <v>172</v>
      </c>
      <c r="L6" s="4" t="s">
        <v>151</v>
      </c>
      <c r="M6" s="4" t="s">
        <v>173</v>
      </c>
      <c r="N6" s="4"/>
      <c r="O6" s="4"/>
      <c r="P6" s="4"/>
      <c r="Q6" s="4"/>
      <c r="R6" s="4"/>
      <c r="S6" s="4"/>
      <c r="T6" s="4"/>
      <c r="U6" s="4"/>
      <c r="V6" s="4"/>
      <c r="W6" s="4"/>
      <c r="X6" s="4"/>
      <c r="Y6" s="4"/>
      <c r="Z6" s="4"/>
      <c r="AA6" s="4"/>
    </row>
    <row r="7">
      <c r="A7" s="5" t="str">
        <f t="shared" si="1"/>
        <v>HIST2_0006</v>
      </c>
      <c r="B7" s="5" t="str">
        <f t="shared" si="2"/>
        <v>lectura_6</v>
      </c>
      <c r="C7" s="4" t="s">
        <v>178</v>
      </c>
      <c r="D7" s="6" t="s">
        <v>179</v>
      </c>
      <c r="E7" s="4" t="s">
        <v>139</v>
      </c>
      <c r="F7" s="4" t="s">
        <v>180</v>
      </c>
      <c r="G7" s="4">
        <v>2014.0</v>
      </c>
      <c r="H7" s="4" t="s">
        <v>88</v>
      </c>
      <c r="I7" s="4" t="s">
        <v>39</v>
      </c>
      <c r="J7" s="7" t="s">
        <v>181</v>
      </c>
      <c r="K7" s="4" t="s">
        <v>182</v>
      </c>
      <c r="L7" s="4" t="s">
        <v>151</v>
      </c>
      <c r="M7" s="4" t="s">
        <v>183</v>
      </c>
      <c r="N7" s="4" t="s">
        <v>103</v>
      </c>
      <c r="O7" s="4"/>
      <c r="P7" s="4"/>
      <c r="Q7" s="4"/>
      <c r="R7" s="4"/>
      <c r="S7" s="4"/>
      <c r="T7" s="4"/>
      <c r="U7" s="4"/>
      <c r="V7" s="4"/>
      <c r="W7" s="4"/>
      <c r="X7" s="4"/>
      <c r="Y7" s="4"/>
      <c r="Z7" s="4"/>
      <c r="AA7" s="4"/>
    </row>
    <row r="8">
      <c r="A8" s="5" t="str">
        <f t="shared" si="1"/>
        <v>HIST2_0007</v>
      </c>
      <c r="B8" s="5" t="str">
        <f t="shared" si="2"/>
        <v>lectura_7</v>
      </c>
      <c r="C8" s="4" t="s">
        <v>184</v>
      </c>
      <c r="D8" s="6" t="s">
        <v>185</v>
      </c>
      <c r="E8" s="4" t="s">
        <v>186</v>
      </c>
      <c r="F8" s="4" t="s">
        <v>187</v>
      </c>
      <c r="G8" s="4">
        <v>2015.0</v>
      </c>
      <c r="H8" s="4" t="s">
        <v>188</v>
      </c>
      <c r="I8" s="4" t="s">
        <v>39</v>
      </c>
      <c r="J8" s="8" t="s">
        <v>189</v>
      </c>
      <c r="K8" s="4" t="s">
        <v>190</v>
      </c>
      <c r="L8" s="4" t="s">
        <v>151</v>
      </c>
      <c r="M8" s="4" t="s">
        <v>191</v>
      </c>
      <c r="N8" s="4" t="s">
        <v>192</v>
      </c>
      <c r="O8" s="4"/>
      <c r="P8" s="4"/>
      <c r="Q8" s="4"/>
      <c r="R8" s="4"/>
      <c r="S8" s="4"/>
      <c r="T8" s="4"/>
      <c r="U8" s="4"/>
      <c r="V8" s="4"/>
      <c r="W8" s="4"/>
      <c r="X8" s="4"/>
      <c r="Y8" s="4"/>
      <c r="Z8" s="4"/>
      <c r="AA8" s="4"/>
    </row>
    <row r="9">
      <c r="A9" s="5" t="str">
        <f t="shared" si="1"/>
        <v>HIST2_0008</v>
      </c>
      <c r="B9" s="5" t="str">
        <f t="shared" si="2"/>
        <v>lectura_8</v>
      </c>
      <c r="C9" s="4" t="s">
        <v>193</v>
      </c>
      <c r="D9" s="6" t="s">
        <v>194</v>
      </c>
      <c r="E9" s="4" t="s">
        <v>195</v>
      </c>
      <c r="F9" s="4" t="s">
        <v>196</v>
      </c>
      <c r="G9" s="4">
        <v>2021.0</v>
      </c>
      <c r="H9" s="4" t="s">
        <v>197</v>
      </c>
      <c r="I9" s="4" t="s">
        <v>39</v>
      </c>
      <c r="J9" s="7" t="s">
        <v>198</v>
      </c>
      <c r="K9" s="4" t="s">
        <v>199</v>
      </c>
      <c r="L9" s="4" t="s">
        <v>151</v>
      </c>
      <c r="M9" s="4" t="s">
        <v>200</v>
      </c>
      <c r="N9" s="4" t="s">
        <v>103</v>
      </c>
      <c r="O9" s="4"/>
      <c r="P9" s="4"/>
      <c r="Q9" s="4"/>
      <c r="R9" s="4"/>
      <c r="S9" s="4"/>
      <c r="T9" s="4"/>
      <c r="U9" s="4"/>
      <c r="V9" s="4"/>
      <c r="W9" s="4"/>
      <c r="X9" s="4"/>
      <c r="Y9" s="4"/>
      <c r="Z9" s="4"/>
      <c r="AA9" s="4"/>
    </row>
    <row r="10">
      <c r="A10" s="5" t="str">
        <f t="shared" si="1"/>
        <v>HIST2_0009</v>
      </c>
      <c r="B10" s="5" t="str">
        <f t="shared" si="2"/>
        <v>lectura_9</v>
      </c>
      <c r="C10" s="4" t="s">
        <v>201</v>
      </c>
      <c r="D10" s="6" t="s">
        <v>202</v>
      </c>
      <c r="E10" s="4" t="s">
        <v>203</v>
      </c>
      <c r="F10" s="4"/>
      <c r="G10" s="4"/>
      <c r="H10" s="4" t="s">
        <v>204</v>
      </c>
      <c r="I10" s="4" t="s">
        <v>39</v>
      </c>
      <c r="J10" s="7" t="s">
        <v>206</v>
      </c>
      <c r="K10" s="4"/>
      <c r="L10" s="4" t="s">
        <v>151</v>
      </c>
      <c r="M10" s="4" t="s">
        <v>207</v>
      </c>
      <c r="N10" s="4" t="s">
        <v>208</v>
      </c>
      <c r="O10" s="4"/>
      <c r="P10" s="4"/>
      <c r="Q10" s="4"/>
      <c r="R10" s="4"/>
      <c r="S10" s="4"/>
      <c r="T10" s="4"/>
      <c r="U10" s="4"/>
      <c r="V10" s="4"/>
      <c r="W10" s="4"/>
      <c r="X10" s="4"/>
      <c r="Y10" s="4"/>
      <c r="Z10" s="4"/>
      <c r="AA10" s="4"/>
    </row>
    <row r="11">
      <c r="A11" s="5" t="str">
        <f t="shared" si="1"/>
        <v>HIST2_0010</v>
      </c>
      <c r="B11" s="5" t="str">
        <f t="shared" si="2"/>
        <v>lectura_10</v>
      </c>
      <c r="C11" s="4" t="s">
        <v>209</v>
      </c>
      <c r="D11" s="6" t="s">
        <v>210</v>
      </c>
      <c r="E11" s="4" t="s">
        <v>203</v>
      </c>
      <c r="F11" s="4"/>
      <c r="G11" s="4"/>
      <c r="H11" s="4" t="s">
        <v>204</v>
      </c>
      <c r="I11" s="4" t="s">
        <v>39</v>
      </c>
      <c r="J11" s="7" t="s">
        <v>211</v>
      </c>
      <c r="K11" s="4"/>
      <c r="L11" s="4" t="s">
        <v>151</v>
      </c>
      <c r="M11" s="4" t="s">
        <v>207</v>
      </c>
      <c r="N11" s="4" t="s">
        <v>208</v>
      </c>
      <c r="O11" s="4"/>
      <c r="P11" s="4"/>
      <c r="Q11" s="4"/>
      <c r="R11" s="4"/>
      <c r="S11" s="4"/>
      <c r="T11" s="4"/>
      <c r="U11" s="4"/>
      <c r="V11" s="4"/>
      <c r="W11" s="4"/>
      <c r="X11" s="4"/>
      <c r="Y11" s="4"/>
      <c r="Z11" s="4"/>
      <c r="AA11" s="4"/>
    </row>
    <row r="12">
      <c r="A12" s="5" t="str">
        <f t="shared" si="1"/>
        <v>HIST2_0011</v>
      </c>
      <c r="B12" s="5" t="str">
        <f t="shared" si="2"/>
        <v>lectura_11</v>
      </c>
      <c r="C12" s="4" t="s">
        <v>212</v>
      </c>
      <c r="D12" s="6" t="s">
        <v>213</v>
      </c>
      <c r="E12" s="4" t="s">
        <v>203</v>
      </c>
      <c r="F12" s="4"/>
      <c r="G12" s="4"/>
      <c r="H12" s="4" t="s">
        <v>204</v>
      </c>
      <c r="I12" s="4" t="s">
        <v>39</v>
      </c>
      <c r="J12" s="7" t="s">
        <v>214</v>
      </c>
      <c r="K12" s="4"/>
      <c r="L12" s="4" t="s">
        <v>151</v>
      </c>
      <c r="M12" s="4" t="s">
        <v>207</v>
      </c>
      <c r="N12" s="4" t="s">
        <v>208</v>
      </c>
      <c r="O12" s="4"/>
      <c r="P12" s="4"/>
      <c r="Q12" s="4"/>
      <c r="R12" s="4"/>
      <c r="S12" s="4"/>
      <c r="T12" s="4"/>
      <c r="U12" s="4"/>
      <c r="V12" s="4"/>
      <c r="W12" s="4"/>
      <c r="X12" s="4"/>
      <c r="Y12" s="4"/>
      <c r="Z12" s="4"/>
      <c r="AA12" s="4"/>
    </row>
    <row r="13">
      <c r="A13" s="5" t="str">
        <f t="shared" si="1"/>
        <v>HIST2_0012</v>
      </c>
      <c r="B13" s="5" t="str">
        <f t="shared" si="2"/>
        <v>lectura_12</v>
      </c>
      <c r="C13" s="4" t="s">
        <v>224</v>
      </c>
      <c r="D13" s="6" t="s">
        <v>225</v>
      </c>
      <c r="E13" s="4" t="s">
        <v>226</v>
      </c>
      <c r="F13" s="4"/>
      <c r="G13" s="4"/>
      <c r="H13" s="4" t="s">
        <v>227</v>
      </c>
      <c r="I13" s="4" t="s">
        <v>39</v>
      </c>
      <c r="J13" s="7" t="s">
        <v>228</v>
      </c>
      <c r="K13" s="4"/>
      <c r="L13" s="4"/>
      <c r="M13" s="4"/>
      <c r="N13" s="4"/>
      <c r="O13" s="4"/>
      <c r="P13" s="4"/>
      <c r="Q13" s="4"/>
      <c r="R13" s="4"/>
      <c r="S13" s="4"/>
      <c r="T13" s="4"/>
      <c r="U13" s="4"/>
      <c r="V13" s="4"/>
      <c r="W13" s="4"/>
      <c r="X13" s="4"/>
      <c r="Y13" s="4"/>
      <c r="Z13" s="4"/>
      <c r="AA13" s="4"/>
    </row>
    <row r="14">
      <c r="A14" s="5" t="str">
        <f t="shared" si="1"/>
        <v>HIST2_0013</v>
      </c>
      <c r="B14" s="5" t="str">
        <f t="shared" si="2"/>
        <v>lectura_13</v>
      </c>
      <c r="C14" s="4" t="s">
        <v>229</v>
      </c>
      <c r="D14" s="6" t="s">
        <v>230</v>
      </c>
      <c r="E14" s="4" t="s">
        <v>231</v>
      </c>
      <c r="F14" s="4"/>
      <c r="G14" s="4">
        <v>2022.0</v>
      </c>
      <c r="H14" s="4" t="s">
        <v>227</v>
      </c>
      <c r="I14" s="4" t="s">
        <v>39</v>
      </c>
      <c r="J14" s="7" t="s">
        <v>232</v>
      </c>
      <c r="K14" s="4" t="s">
        <v>233</v>
      </c>
      <c r="L14" s="4" t="s">
        <v>151</v>
      </c>
      <c r="M14" s="4" t="s">
        <v>234</v>
      </c>
      <c r="N14" s="4" t="s">
        <v>208</v>
      </c>
      <c r="O14" s="4"/>
      <c r="P14" s="4"/>
      <c r="Q14" s="4"/>
      <c r="R14" s="4"/>
      <c r="S14" s="4"/>
      <c r="T14" s="4"/>
      <c r="U14" s="4"/>
      <c r="V14" s="4"/>
      <c r="W14" s="4"/>
      <c r="X14" s="4"/>
      <c r="Y14" s="4"/>
      <c r="Z14" s="4"/>
      <c r="AA14" s="4"/>
    </row>
    <row r="15">
      <c r="A15" s="5" t="str">
        <f t="shared" si="1"/>
        <v>HIST2_0014</v>
      </c>
      <c r="B15" s="5" t="str">
        <f t="shared" si="2"/>
        <v>lectura_14</v>
      </c>
      <c r="C15" s="4" t="s">
        <v>235</v>
      </c>
      <c r="D15" s="6" t="s">
        <v>236</v>
      </c>
      <c r="E15" s="4" t="s">
        <v>195</v>
      </c>
      <c r="F15" s="4"/>
      <c r="G15" s="4"/>
      <c r="H15" s="4" t="s">
        <v>227</v>
      </c>
      <c r="I15" s="4" t="s">
        <v>39</v>
      </c>
      <c r="J15" s="8" t="s">
        <v>237</v>
      </c>
      <c r="K15" s="4"/>
      <c r="L15" s="4"/>
      <c r="M15" s="4"/>
      <c r="N15" s="4"/>
      <c r="O15" s="4"/>
      <c r="P15" s="4"/>
      <c r="Q15" s="4"/>
      <c r="R15" s="4"/>
      <c r="S15" s="4"/>
      <c r="T15" s="4"/>
      <c r="U15" s="4"/>
      <c r="V15" s="4"/>
      <c r="W15" s="4"/>
      <c r="X15" s="4"/>
      <c r="Y15" s="4"/>
      <c r="Z15" s="4"/>
      <c r="AA15" s="4"/>
    </row>
    <row r="16">
      <c r="A16" s="5" t="str">
        <f t="shared" si="1"/>
        <v>HIST2_0015</v>
      </c>
      <c r="B16" s="5" t="str">
        <f t="shared" si="2"/>
        <v>lectura_15</v>
      </c>
      <c r="C16" s="4" t="s">
        <v>238</v>
      </c>
      <c r="D16" s="6" t="s">
        <v>239</v>
      </c>
      <c r="E16" s="4" t="s">
        <v>240</v>
      </c>
      <c r="F16" s="4"/>
      <c r="G16" s="4">
        <v>2021.0</v>
      </c>
      <c r="H16" s="4" t="s">
        <v>241</v>
      </c>
      <c r="I16" s="4" t="s">
        <v>39</v>
      </c>
      <c r="J16" s="7" t="s">
        <v>242</v>
      </c>
      <c r="K16" s="4"/>
      <c r="L16" s="4" t="s">
        <v>243</v>
      </c>
      <c r="M16" s="4" t="s">
        <v>244</v>
      </c>
      <c r="N16" s="4" t="s">
        <v>208</v>
      </c>
      <c r="O16" s="4"/>
      <c r="P16" s="4"/>
      <c r="Q16" s="4"/>
      <c r="R16" s="4"/>
      <c r="S16" s="4"/>
      <c r="T16" s="4"/>
      <c r="U16" s="4"/>
      <c r="V16" s="4"/>
      <c r="W16" s="4"/>
      <c r="X16" s="4"/>
      <c r="Y16" s="4"/>
      <c r="Z16" s="4"/>
      <c r="AA16" s="4"/>
    </row>
    <row r="17">
      <c r="A17" s="5" t="str">
        <f t="shared" si="1"/>
        <v>HIST2_0016</v>
      </c>
      <c r="B17" s="5" t="str">
        <f t="shared" si="2"/>
        <v>lectura_16</v>
      </c>
      <c r="C17" s="4" t="s">
        <v>245</v>
      </c>
      <c r="D17" s="6" t="s">
        <v>246</v>
      </c>
      <c r="E17" s="4" t="s">
        <v>247</v>
      </c>
      <c r="F17" s="4"/>
      <c r="G17" s="4">
        <v>2002.0</v>
      </c>
      <c r="H17" s="4" t="s">
        <v>248</v>
      </c>
      <c r="I17" s="4" t="s">
        <v>39</v>
      </c>
      <c r="J17" s="7" t="s">
        <v>249</v>
      </c>
      <c r="K17" s="4"/>
      <c r="L17" s="4" t="s">
        <v>250</v>
      </c>
      <c r="M17" s="4" t="s">
        <v>251</v>
      </c>
      <c r="N17" s="4" t="s">
        <v>253</v>
      </c>
      <c r="O17" s="4"/>
      <c r="P17" s="4"/>
      <c r="Q17" s="4"/>
      <c r="R17" s="4"/>
      <c r="S17" s="4"/>
      <c r="T17" s="4"/>
      <c r="U17" s="4"/>
      <c r="V17" s="4"/>
      <c r="W17" s="4"/>
      <c r="X17" s="4"/>
      <c r="Y17" s="4"/>
      <c r="Z17" s="4"/>
      <c r="AA17" s="4"/>
    </row>
    <row r="18">
      <c r="A18" s="5" t="str">
        <f t="shared" si="1"/>
        <v>HIST2_0017</v>
      </c>
      <c r="B18" s="5" t="str">
        <f t="shared" si="2"/>
        <v>lectura_17</v>
      </c>
      <c r="C18" s="4" t="s">
        <v>259</v>
      </c>
      <c r="D18" s="6" t="s">
        <v>260</v>
      </c>
      <c r="E18" s="4" t="s">
        <v>261</v>
      </c>
      <c r="F18" s="4"/>
      <c r="G18" s="4">
        <v>2008.0</v>
      </c>
      <c r="H18" s="4" t="s">
        <v>241</v>
      </c>
      <c r="I18" s="4" t="s">
        <v>39</v>
      </c>
      <c r="J18" s="7" t="s">
        <v>265</v>
      </c>
      <c r="K18" s="4"/>
      <c r="L18" s="4" t="s">
        <v>266</v>
      </c>
      <c r="M18" s="4" t="s">
        <v>267</v>
      </c>
      <c r="N18" s="4" t="s">
        <v>103</v>
      </c>
      <c r="O18" s="4"/>
      <c r="P18" s="4"/>
      <c r="Q18" s="4"/>
      <c r="R18" s="4"/>
      <c r="S18" s="4"/>
      <c r="T18" s="4"/>
      <c r="U18" s="4"/>
      <c r="V18" s="4"/>
      <c r="W18" s="4"/>
      <c r="X18" s="4"/>
      <c r="Y18" s="4"/>
      <c r="Z18" s="4"/>
      <c r="AA18" s="4"/>
    </row>
    <row r="19">
      <c r="A19" s="5" t="str">
        <f t="shared" si="1"/>
        <v>HIST2_0018</v>
      </c>
      <c r="B19" s="5" t="str">
        <f t="shared" si="2"/>
        <v>lectura_18</v>
      </c>
      <c r="C19" s="4" t="s">
        <v>268</v>
      </c>
      <c r="D19" s="6" t="s">
        <v>269</v>
      </c>
      <c r="E19" s="4" t="s">
        <v>270</v>
      </c>
      <c r="F19" s="4"/>
      <c r="G19" s="4">
        <v>2022.0</v>
      </c>
      <c r="H19" s="4" t="s">
        <v>271</v>
      </c>
      <c r="I19" s="4" t="s">
        <v>39</v>
      </c>
      <c r="J19" s="8" t="s">
        <v>272</v>
      </c>
      <c r="K19" s="4"/>
      <c r="L19" s="4" t="s">
        <v>266</v>
      </c>
      <c r="M19" s="4" t="s">
        <v>274</v>
      </c>
      <c r="N19" s="4" t="s">
        <v>253</v>
      </c>
      <c r="O19" s="4"/>
      <c r="P19" s="4"/>
      <c r="Q19" s="4"/>
      <c r="R19" s="4"/>
      <c r="S19" s="4"/>
      <c r="T19" s="4"/>
      <c r="U19" s="4"/>
      <c r="V19" s="4"/>
      <c r="W19" s="4"/>
      <c r="X19" s="4"/>
      <c r="Y19" s="4"/>
      <c r="Z19" s="4"/>
      <c r="AA19" s="4"/>
    </row>
    <row r="20">
      <c r="A20" s="5" t="str">
        <f t="shared" si="1"/>
        <v>HIST2_0019</v>
      </c>
      <c r="B20" s="5" t="str">
        <f t="shared" si="2"/>
        <v>lectura_19</v>
      </c>
      <c r="C20" s="4" t="s">
        <v>275</v>
      </c>
      <c r="D20" s="6" t="s">
        <v>276</v>
      </c>
      <c r="E20" s="4" t="s">
        <v>277</v>
      </c>
      <c r="F20" s="4"/>
      <c r="G20" s="4">
        <v>2015.0</v>
      </c>
      <c r="H20" s="4" t="s">
        <v>278</v>
      </c>
      <c r="I20" s="4" t="s">
        <v>39</v>
      </c>
      <c r="J20" s="8" t="s">
        <v>279</v>
      </c>
      <c r="K20" s="4"/>
      <c r="L20" s="4" t="s">
        <v>127</v>
      </c>
      <c r="M20" s="4" t="s">
        <v>280</v>
      </c>
      <c r="N20" s="4" t="s">
        <v>103</v>
      </c>
      <c r="O20" s="4"/>
      <c r="P20" s="4"/>
      <c r="Q20" s="4"/>
      <c r="R20" s="4"/>
      <c r="S20" s="4"/>
      <c r="T20" s="4"/>
      <c r="U20" s="4"/>
      <c r="V20" s="4"/>
      <c r="W20" s="4"/>
      <c r="X20" s="4"/>
      <c r="Y20" s="4"/>
      <c r="Z20" s="4"/>
      <c r="AA20" s="4"/>
    </row>
    <row r="21">
      <c r="A21" s="5" t="str">
        <f t="shared" si="1"/>
        <v>HIST2_0020</v>
      </c>
      <c r="B21" s="5" t="s">
        <v>281</v>
      </c>
      <c r="C21" s="4" t="s">
        <v>282</v>
      </c>
      <c r="D21" s="6" t="s">
        <v>284</v>
      </c>
      <c r="E21" s="4" t="s">
        <v>285</v>
      </c>
      <c r="F21" s="4"/>
      <c r="G21" s="4">
        <v>2024.0</v>
      </c>
      <c r="H21" s="4"/>
      <c r="I21" s="4" t="s">
        <v>39</v>
      </c>
      <c r="J21" s="7" t="s">
        <v>286</v>
      </c>
      <c r="K21" s="4"/>
      <c r="L21" s="4"/>
      <c r="M21" s="4"/>
      <c r="N21" s="4"/>
      <c r="O21" s="4"/>
      <c r="P21" s="4"/>
      <c r="Q21" s="4"/>
      <c r="R21" s="4"/>
      <c r="S21" s="4"/>
      <c r="T21" s="4"/>
      <c r="U21" s="4"/>
      <c r="V21" s="4"/>
      <c r="W21" s="4"/>
      <c r="X21" s="4"/>
      <c r="Y21" s="4"/>
      <c r="Z21" s="4"/>
      <c r="AA21" s="4"/>
    </row>
    <row r="22">
      <c r="A22" s="5"/>
      <c r="B22" s="5"/>
      <c r="C22" s="9"/>
      <c r="D22" s="9"/>
      <c r="E22" s="4"/>
      <c r="F22" s="4"/>
      <c r="G22" s="4"/>
      <c r="H22" s="4"/>
      <c r="I22" s="4"/>
      <c r="J22" s="10"/>
      <c r="K22" s="4"/>
      <c r="L22" s="4"/>
      <c r="M22" s="4"/>
      <c r="N22" s="4"/>
      <c r="O22" s="4"/>
      <c r="P22" s="4"/>
      <c r="Q22" s="4"/>
      <c r="R22" s="4"/>
      <c r="S22" s="4"/>
      <c r="T22" s="4"/>
      <c r="U22" s="4"/>
      <c r="V22" s="4"/>
      <c r="W22" s="4"/>
      <c r="X22" s="4"/>
      <c r="Y22" s="4"/>
      <c r="Z22" s="4"/>
      <c r="AA22" s="4"/>
    </row>
    <row r="23">
      <c r="A23" s="5"/>
      <c r="B23" s="5"/>
      <c r="C23" s="4"/>
      <c r="D23" s="4"/>
      <c r="E23" s="4"/>
      <c r="F23" s="4"/>
      <c r="G23" s="4"/>
      <c r="H23" s="4"/>
      <c r="I23" s="4"/>
      <c r="J23" s="4"/>
      <c r="K23" s="4"/>
      <c r="L23" s="4"/>
      <c r="M23" s="4"/>
      <c r="N23" s="4"/>
      <c r="O23" s="4"/>
      <c r="P23" s="4"/>
      <c r="Q23" s="4"/>
      <c r="R23" s="4"/>
      <c r="S23" s="4"/>
      <c r="T23" s="4"/>
      <c r="U23" s="4"/>
      <c r="V23" s="4"/>
      <c r="W23" s="4"/>
      <c r="X23" s="4"/>
      <c r="Y23" s="4"/>
      <c r="Z23" s="4"/>
      <c r="AA23" s="4"/>
    </row>
    <row r="24">
      <c r="A24" s="5"/>
      <c r="B24" s="5"/>
      <c r="C24" s="4"/>
      <c r="D24" s="4"/>
      <c r="E24" s="4"/>
      <c r="F24" s="4"/>
      <c r="G24" s="4"/>
      <c r="H24" s="4"/>
      <c r="I24" s="4"/>
      <c r="J24" s="4"/>
      <c r="K24" s="4"/>
      <c r="L24" s="4"/>
      <c r="M24" s="4"/>
      <c r="N24" s="4"/>
      <c r="O24" s="4"/>
      <c r="P24" s="4"/>
      <c r="Q24" s="4"/>
      <c r="R24" s="4"/>
      <c r="S24" s="4"/>
      <c r="T24" s="4"/>
      <c r="U24" s="4"/>
      <c r="V24" s="4"/>
      <c r="W24" s="4"/>
      <c r="X24" s="4"/>
      <c r="Y24" s="4"/>
      <c r="Z24" s="4"/>
      <c r="AA24" s="4"/>
    </row>
    <row r="25">
      <c r="A25" s="5"/>
      <c r="B25" s="5"/>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5"/>
      <c r="B26" s="5"/>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5"/>
      <c r="B27" s="5"/>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5"/>
      <c r="B28" s="5"/>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5"/>
      <c r="B29" s="5"/>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5"/>
      <c r="B30" s="5"/>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5"/>
      <c r="B31" s="5"/>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5"/>
      <c r="B32" s="5"/>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5"/>
      <c r="B33" s="5"/>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5"/>
      <c r="B34" s="5"/>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5"/>
      <c r="B35" s="5"/>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5"/>
      <c r="B36" s="5"/>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5"/>
      <c r="B37" s="5"/>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5"/>
      <c r="B38" s="5"/>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5"/>
      <c r="B39" s="5"/>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5"/>
      <c r="B40" s="5"/>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5"/>
      <c r="B41" s="5"/>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5"/>
      <c r="B42" s="5"/>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5"/>
      <c r="B43" s="5"/>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5"/>
      <c r="B44" s="5"/>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5"/>
      <c r="B45" s="5"/>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5"/>
      <c r="B46" s="5"/>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5"/>
      <c r="B47" s="5"/>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5"/>
      <c r="B48" s="5"/>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5"/>
      <c r="B49" s="5"/>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5"/>
      <c r="B50" s="5"/>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5"/>
      <c r="B51" s="5"/>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5"/>
      <c r="B52" s="5"/>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5"/>
      <c r="B53" s="5"/>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5"/>
      <c r="B54" s="5"/>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5"/>
      <c r="B55" s="5"/>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5"/>
      <c r="B56" s="5"/>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5"/>
      <c r="B57" s="5"/>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5"/>
      <c r="B58" s="5"/>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5"/>
      <c r="B59" s="5"/>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5"/>
      <c r="B60" s="5"/>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5"/>
      <c r="B61" s="5"/>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5"/>
      <c r="B62" s="5"/>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5"/>
      <c r="B63" s="5"/>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5"/>
      <c r="B64" s="5"/>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5"/>
      <c r="B65" s="5"/>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5"/>
      <c r="B66" s="5"/>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5"/>
      <c r="B67" s="5"/>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5"/>
      <c r="B68" s="5"/>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5"/>
      <c r="B69" s="5"/>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5"/>
      <c r="B70" s="5"/>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5"/>
      <c r="B71" s="5"/>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5"/>
      <c r="B72" s="5"/>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5"/>
      <c r="B73" s="5"/>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5"/>
      <c r="B74" s="5"/>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5"/>
      <c r="B75" s="5"/>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5"/>
      <c r="B76" s="5"/>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5"/>
      <c r="B77" s="5"/>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5"/>
      <c r="B78" s="5"/>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5"/>
      <c r="B79" s="5"/>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5"/>
      <c r="B80" s="5"/>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5"/>
      <c r="B81" s="5"/>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5"/>
      <c r="B82" s="5"/>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5"/>
      <c r="B83" s="5"/>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5"/>
      <c r="B84" s="5"/>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5"/>
      <c r="B85" s="5"/>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5"/>
      <c r="B86" s="5"/>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5"/>
      <c r="B87" s="5"/>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5"/>
      <c r="B88" s="5"/>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5"/>
      <c r="B89" s="5"/>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5"/>
      <c r="B90" s="5"/>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5"/>
      <c r="B91" s="5"/>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5"/>
      <c r="B92" s="5"/>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5"/>
      <c r="B93" s="5"/>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5"/>
      <c r="B94" s="5"/>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5"/>
      <c r="B95" s="5"/>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5"/>
      <c r="B96" s="5"/>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5"/>
      <c r="B97" s="5"/>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5"/>
      <c r="B98" s="5"/>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5"/>
      <c r="B99" s="5"/>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5"/>
      <c r="B100" s="5"/>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5"/>
      <c r="B101" s="5"/>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5"/>
      <c r="B102" s="5"/>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5"/>
      <c r="B103" s="5"/>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5"/>
      <c r="B104" s="5"/>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5"/>
      <c r="B105" s="5"/>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5"/>
      <c r="B106" s="5"/>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5"/>
      <c r="B107" s="5"/>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5"/>
      <c r="B108" s="5"/>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5"/>
      <c r="B109" s="5"/>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5"/>
      <c r="B110" s="5"/>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5"/>
      <c r="B111" s="5"/>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5"/>
      <c r="B112" s="5"/>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5"/>
      <c r="B113" s="5"/>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5"/>
      <c r="B114" s="5"/>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5"/>
      <c r="B115" s="5"/>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5"/>
      <c r="B116" s="5"/>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5"/>
      <c r="B117" s="5"/>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5"/>
      <c r="B118" s="5"/>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5"/>
      <c r="B119" s="5"/>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5"/>
      <c r="B120" s="5"/>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5"/>
      <c r="B121" s="5"/>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5"/>
      <c r="B122" s="5"/>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5"/>
      <c r="B123" s="5"/>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5"/>
      <c r="B124" s="5"/>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5"/>
      <c r="B125" s="5"/>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5"/>
      <c r="B126" s="5"/>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5"/>
      <c r="B127" s="5"/>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5"/>
      <c r="B128" s="5"/>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5"/>
      <c r="B129" s="5"/>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5"/>
      <c r="B130" s="5"/>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5"/>
      <c r="B131" s="5"/>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5"/>
      <c r="B132" s="5"/>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5"/>
      <c r="B133" s="5"/>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5"/>
      <c r="B134" s="5"/>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5"/>
      <c r="B135" s="5"/>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5"/>
      <c r="B136" s="5"/>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5"/>
      <c r="B137" s="5"/>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5"/>
      <c r="B138" s="5"/>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5"/>
      <c r="B139" s="5"/>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5"/>
      <c r="B140" s="5"/>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5"/>
      <c r="B141" s="5"/>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5"/>
      <c r="B142" s="5"/>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5"/>
      <c r="B143" s="5"/>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5"/>
      <c r="B144" s="5"/>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5"/>
      <c r="B145" s="5"/>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5"/>
      <c r="B146" s="5"/>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5"/>
      <c r="B147" s="5"/>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5"/>
      <c r="B148" s="5"/>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5"/>
      <c r="B149" s="5"/>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5"/>
      <c r="B150" s="5"/>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5"/>
      <c r="B151" s="5"/>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5"/>
      <c r="B152" s="5"/>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5"/>
      <c r="B153" s="5"/>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5"/>
      <c r="B154" s="5"/>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5"/>
      <c r="B155" s="5"/>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5"/>
      <c r="B156" s="5"/>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5"/>
      <c r="B157" s="5"/>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5"/>
      <c r="B158" s="5"/>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5"/>
      <c r="B159" s="5"/>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5"/>
      <c r="B160" s="5"/>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5"/>
      <c r="B161" s="5"/>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5"/>
      <c r="B162" s="5"/>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5"/>
      <c r="B163" s="5"/>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5"/>
      <c r="B164" s="5"/>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5"/>
      <c r="B165" s="5"/>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5"/>
      <c r="B166" s="5"/>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5"/>
      <c r="B167" s="5"/>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5"/>
      <c r="B168" s="5"/>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5"/>
      <c r="B169" s="5"/>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5"/>
      <c r="B170" s="5"/>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5"/>
      <c r="B171" s="5"/>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5"/>
      <c r="B172" s="5"/>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5"/>
      <c r="B173" s="5"/>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5"/>
      <c r="B174" s="5"/>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5"/>
      <c r="B175" s="5"/>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5"/>
      <c r="B176" s="5"/>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5"/>
      <c r="B177" s="5"/>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5"/>
      <c r="B178" s="5"/>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5"/>
      <c r="B179" s="5"/>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5"/>
      <c r="B180" s="5"/>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5"/>
      <c r="B181" s="5"/>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5"/>
      <c r="B182" s="5"/>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5"/>
      <c r="B183" s="5"/>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5"/>
      <c r="B184" s="5"/>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5"/>
      <c r="B185" s="5"/>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5"/>
      <c r="B186" s="5"/>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5"/>
      <c r="B187" s="5"/>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5"/>
      <c r="B188" s="5"/>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5"/>
      <c r="B189" s="5"/>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5"/>
      <c r="B190" s="5"/>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5"/>
      <c r="B191" s="5"/>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5"/>
      <c r="B192" s="5"/>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5"/>
      <c r="B193" s="5"/>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5"/>
      <c r="B194" s="5"/>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5"/>
      <c r="B195" s="5"/>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5"/>
      <c r="B196" s="5"/>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5"/>
      <c r="B197" s="5"/>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5"/>
      <c r="B198" s="5"/>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5"/>
      <c r="B199" s="5"/>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5"/>
      <c r="B200" s="5"/>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5"/>
      <c r="B201" s="5"/>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5"/>
      <c r="B202" s="5"/>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5"/>
      <c r="B203" s="5"/>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5"/>
      <c r="B204" s="5"/>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5"/>
      <c r="B205" s="5"/>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5"/>
      <c r="B206" s="5"/>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5"/>
      <c r="B207" s="5"/>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5"/>
      <c r="B208" s="5"/>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5"/>
      <c r="B209" s="5"/>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5"/>
      <c r="B210" s="5"/>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5"/>
      <c r="B211" s="5"/>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5"/>
      <c r="B212" s="5"/>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5"/>
      <c r="B213" s="5"/>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5"/>
      <c r="B214" s="5"/>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5"/>
      <c r="B215" s="5"/>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5"/>
      <c r="B216" s="5"/>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5"/>
      <c r="B217" s="5"/>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5"/>
      <c r="B218" s="5"/>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5"/>
      <c r="B219" s="5"/>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5"/>
      <c r="B220" s="5"/>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5"/>
      <c r="B221" s="5"/>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5"/>
      <c r="B222" s="5"/>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5"/>
      <c r="B223" s="5"/>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5"/>
      <c r="B224" s="5"/>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5"/>
      <c r="B225" s="5"/>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5"/>
      <c r="B226" s="5"/>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5"/>
      <c r="B227" s="5"/>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5"/>
      <c r="B228" s="5"/>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5"/>
      <c r="B229" s="5"/>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5"/>
      <c r="B230" s="5"/>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5"/>
      <c r="B231" s="5"/>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5"/>
      <c r="B232" s="5"/>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5"/>
      <c r="B233" s="5"/>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5"/>
      <c r="B234" s="5"/>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5"/>
      <c r="B235" s="5"/>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5"/>
      <c r="B236" s="5"/>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5"/>
      <c r="B237" s="5"/>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5"/>
      <c r="B238" s="5"/>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5"/>
      <c r="B239" s="5"/>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5"/>
      <c r="B240" s="5"/>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5"/>
      <c r="B241" s="5"/>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5"/>
      <c r="B242" s="5"/>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5"/>
      <c r="B243" s="5"/>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5"/>
      <c r="B244" s="5"/>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5"/>
      <c r="B245" s="5"/>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5"/>
      <c r="B246" s="5"/>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5"/>
      <c r="B247" s="5"/>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5"/>
      <c r="B248" s="5"/>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5"/>
      <c r="B249" s="5"/>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5"/>
      <c r="B250" s="5"/>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5"/>
      <c r="B251" s="5"/>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5"/>
      <c r="B252" s="5"/>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5"/>
      <c r="B253" s="5"/>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5"/>
      <c r="B254" s="5"/>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5"/>
      <c r="B255" s="5"/>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5"/>
      <c r="B256" s="5"/>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5"/>
      <c r="B257" s="5"/>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5"/>
      <c r="B258" s="5"/>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5"/>
      <c r="B259" s="5"/>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5"/>
      <c r="B260" s="5"/>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5"/>
      <c r="B261" s="5"/>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5"/>
      <c r="B262" s="5"/>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5"/>
      <c r="B263" s="5"/>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5"/>
      <c r="B264" s="5"/>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5"/>
      <c r="B265" s="5"/>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5"/>
      <c r="B266" s="5"/>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5"/>
      <c r="B267" s="5"/>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5"/>
      <c r="B268" s="5"/>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5"/>
      <c r="B269" s="5"/>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5"/>
      <c r="B270" s="5"/>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5"/>
      <c r="B271" s="5"/>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5"/>
      <c r="B272" s="5"/>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5"/>
      <c r="B273" s="5"/>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5"/>
      <c r="B274" s="5"/>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5"/>
      <c r="B275" s="5"/>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5"/>
      <c r="B276" s="5"/>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5"/>
      <c r="B277" s="5"/>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5"/>
      <c r="B278" s="5"/>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5"/>
      <c r="B279" s="5"/>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5"/>
      <c r="B280" s="5"/>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5"/>
      <c r="B281" s="5"/>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5"/>
      <c r="B282" s="5"/>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5"/>
      <c r="B283" s="5"/>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5"/>
      <c r="B284" s="5"/>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5"/>
      <c r="B285" s="5"/>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5"/>
      <c r="B286" s="5"/>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5"/>
      <c r="B287" s="5"/>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5"/>
      <c r="B288" s="5"/>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5"/>
      <c r="B289" s="5"/>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5"/>
      <c r="B290" s="5"/>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5"/>
      <c r="B291" s="5"/>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5"/>
      <c r="B292" s="5"/>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5"/>
      <c r="B293" s="5"/>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5"/>
      <c r="B294" s="5"/>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5"/>
      <c r="B295" s="5"/>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5"/>
      <c r="B296" s="5"/>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5"/>
      <c r="B297" s="5"/>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5"/>
      <c r="B298" s="5"/>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5"/>
      <c r="B299" s="5"/>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5"/>
      <c r="B300" s="5"/>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5"/>
      <c r="B301" s="5"/>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5"/>
      <c r="B302" s="5"/>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5"/>
      <c r="B303" s="5"/>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5"/>
      <c r="B304" s="5"/>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5"/>
      <c r="B305" s="5"/>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5"/>
      <c r="B306" s="5"/>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5"/>
      <c r="B307" s="5"/>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5"/>
      <c r="B308" s="5"/>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5"/>
      <c r="B309" s="5"/>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5"/>
      <c r="B310" s="5"/>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5"/>
      <c r="B311" s="5"/>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5"/>
      <c r="B312" s="5"/>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5"/>
      <c r="B313" s="5"/>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5"/>
      <c r="B314" s="5"/>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5"/>
      <c r="B315" s="5"/>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5"/>
      <c r="B316" s="5"/>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5"/>
      <c r="B317" s="5"/>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5"/>
      <c r="B318" s="5"/>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5"/>
      <c r="B319" s="5"/>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5"/>
      <c r="B320" s="5"/>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5"/>
      <c r="B321" s="5"/>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5"/>
      <c r="B322" s="5"/>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5"/>
      <c r="B323" s="5"/>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5"/>
      <c r="B324" s="5"/>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5"/>
      <c r="B325" s="5"/>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5"/>
      <c r="B326" s="5"/>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5"/>
      <c r="B327" s="5"/>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5"/>
      <c r="B328" s="5"/>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5"/>
      <c r="B329" s="5"/>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5"/>
      <c r="B330" s="5"/>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5"/>
      <c r="B331" s="5"/>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5"/>
      <c r="B332" s="5"/>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5"/>
      <c r="B333" s="5"/>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5"/>
      <c r="B334" s="5"/>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5"/>
      <c r="B335" s="5"/>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5"/>
      <c r="B336" s="5"/>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5"/>
      <c r="B337" s="5"/>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5"/>
      <c r="B338" s="5"/>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5"/>
      <c r="B339" s="5"/>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5"/>
      <c r="B340" s="5"/>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5"/>
      <c r="B341" s="5"/>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5"/>
      <c r="B342" s="5"/>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5"/>
      <c r="B343" s="5"/>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5"/>
      <c r="B344" s="5"/>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5"/>
      <c r="B345" s="5"/>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5"/>
      <c r="B346" s="5"/>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5"/>
      <c r="B347" s="5"/>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5"/>
      <c r="B348" s="5"/>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5"/>
      <c r="B349" s="5"/>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5"/>
      <c r="B350" s="5"/>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5"/>
      <c r="B351" s="5"/>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5"/>
      <c r="B352" s="5"/>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5"/>
      <c r="B353" s="5"/>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5"/>
      <c r="B354" s="5"/>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5"/>
      <c r="B355" s="5"/>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5"/>
      <c r="B356" s="5"/>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5"/>
      <c r="B357" s="5"/>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5"/>
      <c r="B358" s="5"/>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5"/>
      <c r="B359" s="5"/>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5"/>
      <c r="B360" s="5"/>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5"/>
      <c r="B361" s="5"/>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5"/>
      <c r="B362" s="5"/>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5"/>
      <c r="B363" s="5"/>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5"/>
      <c r="B364" s="5"/>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5"/>
      <c r="B365" s="5"/>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5"/>
      <c r="B366" s="5"/>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5"/>
      <c r="B367" s="5"/>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5"/>
      <c r="B368" s="5"/>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5"/>
      <c r="B369" s="5"/>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5"/>
      <c r="B370" s="5"/>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5"/>
      <c r="B371" s="5"/>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5"/>
      <c r="B372" s="5"/>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5"/>
      <c r="B373" s="5"/>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5"/>
      <c r="B374" s="5"/>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5"/>
      <c r="B375" s="5"/>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5"/>
      <c r="B376" s="5"/>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5"/>
      <c r="B377" s="5"/>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5"/>
      <c r="B378" s="5"/>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5"/>
      <c r="B379" s="5"/>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5"/>
      <c r="B380" s="5"/>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5"/>
      <c r="B381" s="5"/>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5"/>
      <c r="B382" s="5"/>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5"/>
      <c r="B383" s="5"/>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5"/>
      <c r="B384" s="5"/>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5"/>
      <c r="B385" s="5"/>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5"/>
      <c r="B386" s="5"/>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5"/>
      <c r="B387" s="5"/>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5"/>
      <c r="B388" s="5"/>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5"/>
      <c r="B389" s="5"/>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5"/>
      <c r="B390" s="5"/>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5"/>
      <c r="B391" s="5"/>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5"/>
      <c r="B392" s="5"/>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5"/>
      <c r="B393" s="5"/>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5"/>
      <c r="B394" s="5"/>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5"/>
      <c r="B395" s="5"/>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5"/>
      <c r="B396" s="5"/>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5"/>
      <c r="B397" s="5"/>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5"/>
      <c r="B398" s="5"/>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5"/>
      <c r="B399" s="5"/>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5"/>
      <c r="B400" s="5"/>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5"/>
      <c r="B401" s="5"/>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5"/>
      <c r="B402" s="5"/>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5"/>
      <c r="B403" s="5"/>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5"/>
      <c r="B404" s="5"/>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5"/>
      <c r="B405" s="5"/>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5"/>
      <c r="B406" s="5"/>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5"/>
      <c r="B407" s="5"/>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5"/>
      <c r="B408" s="5"/>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5"/>
      <c r="B409" s="5"/>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5"/>
      <c r="B410" s="5"/>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5"/>
      <c r="B411" s="5"/>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5"/>
      <c r="B412" s="5"/>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5"/>
      <c r="B413" s="5"/>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5"/>
      <c r="B414" s="5"/>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5"/>
      <c r="B415" s="5"/>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5"/>
      <c r="B416" s="5"/>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5"/>
      <c r="B417" s="5"/>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5"/>
      <c r="B418" s="5"/>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5"/>
      <c r="B419" s="5"/>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5"/>
      <c r="B420" s="5"/>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5"/>
      <c r="B421" s="5"/>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5"/>
      <c r="B422" s="5"/>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5"/>
      <c r="B423" s="5"/>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5"/>
      <c r="B424" s="5"/>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5"/>
      <c r="B425" s="5"/>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5"/>
      <c r="B426" s="5"/>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5"/>
      <c r="B427" s="5"/>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5"/>
      <c r="B428" s="5"/>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5"/>
      <c r="B429" s="5"/>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5"/>
      <c r="B430" s="5"/>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5"/>
      <c r="B431" s="5"/>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5"/>
      <c r="B432" s="5"/>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5"/>
      <c r="B433" s="5"/>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5"/>
      <c r="B434" s="5"/>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5"/>
      <c r="B435" s="5"/>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5"/>
      <c r="B436" s="5"/>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5"/>
      <c r="B437" s="5"/>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5"/>
      <c r="B438" s="5"/>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5"/>
      <c r="B439" s="5"/>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5"/>
      <c r="B440" s="5"/>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5"/>
      <c r="B441" s="5"/>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5"/>
      <c r="B442" s="5"/>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5"/>
      <c r="B443" s="5"/>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5"/>
      <c r="B444" s="5"/>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5"/>
      <c r="B445" s="5"/>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5"/>
      <c r="B446" s="5"/>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5"/>
      <c r="B447" s="5"/>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5"/>
      <c r="B448" s="5"/>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5"/>
      <c r="B449" s="5"/>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5"/>
      <c r="B450" s="5"/>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5"/>
      <c r="B451" s="5"/>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5"/>
      <c r="B452" s="5"/>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5"/>
      <c r="B453" s="5"/>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5"/>
      <c r="B454" s="5"/>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5"/>
      <c r="B455" s="5"/>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5"/>
      <c r="B456" s="5"/>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5"/>
      <c r="B457" s="5"/>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5"/>
      <c r="B458" s="5"/>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5"/>
      <c r="B459" s="5"/>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5"/>
      <c r="B460" s="5"/>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5"/>
      <c r="B461" s="5"/>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5"/>
      <c r="B462" s="5"/>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5"/>
      <c r="B463" s="5"/>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5"/>
      <c r="B464" s="5"/>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5"/>
      <c r="B465" s="5"/>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5"/>
      <c r="B466" s="5"/>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5"/>
      <c r="B467" s="5"/>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5"/>
      <c r="B468" s="5"/>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5"/>
      <c r="B469" s="5"/>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5"/>
      <c r="B470" s="5"/>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5"/>
      <c r="B471" s="5"/>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5"/>
      <c r="B472" s="5"/>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5"/>
      <c r="B473" s="5"/>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5"/>
      <c r="B474" s="5"/>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5"/>
      <c r="B475" s="5"/>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5"/>
      <c r="B476" s="5"/>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5"/>
      <c r="B477" s="5"/>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5"/>
      <c r="B478" s="5"/>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5"/>
      <c r="B479" s="5"/>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5"/>
      <c r="B480" s="5"/>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5"/>
      <c r="B481" s="5"/>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5"/>
      <c r="B482" s="5"/>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5"/>
      <c r="B483" s="5"/>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5"/>
      <c r="B484" s="5"/>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5"/>
      <c r="B485" s="5"/>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5"/>
      <c r="B486" s="5"/>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5"/>
      <c r="B487" s="5"/>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5"/>
      <c r="B488" s="5"/>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5"/>
      <c r="B489" s="5"/>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5"/>
      <c r="B490" s="5"/>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5"/>
      <c r="B491" s="5"/>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5"/>
      <c r="B492" s="5"/>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5"/>
      <c r="B493" s="5"/>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5"/>
      <c r="B494" s="5"/>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5"/>
      <c r="B495" s="5"/>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5"/>
      <c r="B496" s="5"/>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5"/>
      <c r="B497" s="5"/>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5"/>
      <c r="B498" s="5"/>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5"/>
      <c r="B499" s="5"/>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5"/>
      <c r="B500" s="5"/>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5"/>
      <c r="B501" s="5"/>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5"/>
      <c r="B502" s="5"/>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5"/>
      <c r="B503" s="5"/>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5"/>
      <c r="B504" s="5"/>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5"/>
      <c r="B505" s="5"/>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5"/>
      <c r="B506" s="5"/>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5"/>
      <c r="B507" s="5"/>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5"/>
      <c r="B508" s="5"/>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5"/>
      <c r="B509" s="5"/>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5"/>
      <c r="B510" s="5"/>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5"/>
      <c r="B511" s="5"/>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5"/>
      <c r="B512" s="5"/>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5"/>
      <c r="B513" s="5"/>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5"/>
      <c r="B514" s="5"/>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5"/>
      <c r="B515" s="5"/>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5"/>
      <c r="B516" s="5"/>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5"/>
      <c r="B517" s="5"/>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5"/>
      <c r="B518" s="5"/>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5"/>
      <c r="B519" s="5"/>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5"/>
      <c r="B520" s="5"/>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5"/>
      <c r="B521" s="5"/>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5"/>
      <c r="B522" s="5"/>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5"/>
      <c r="B523" s="5"/>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5"/>
      <c r="B524" s="5"/>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5"/>
      <c r="B525" s="5"/>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5"/>
      <c r="B526" s="5"/>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5"/>
      <c r="B527" s="5"/>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5"/>
      <c r="B528" s="5"/>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5"/>
      <c r="B529" s="5"/>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5"/>
      <c r="B530" s="5"/>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5"/>
      <c r="B531" s="5"/>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5"/>
      <c r="B532" s="5"/>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5"/>
      <c r="B533" s="5"/>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5"/>
      <c r="B534" s="5"/>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5"/>
      <c r="B535" s="5"/>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5"/>
      <c r="B536" s="5"/>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5"/>
      <c r="B537" s="5"/>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5"/>
      <c r="B538" s="5"/>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5"/>
      <c r="B539" s="5"/>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5"/>
      <c r="B540" s="5"/>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5"/>
      <c r="B541" s="5"/>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5"/>
      <c r="B542" s="5"/>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5"/>
      <c r="B543" s="5"/>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5"/>
      <c r="B544" s="5"/>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5"/>
      <c r="B545" s="5"/>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5"/>
      <c r="B546" s="5"/>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5"/>
      <c r="B547" s="5"/>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5"/>
      <c r="B548" s="5"/>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5"/>
      <c r="B549" s="5"/>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5"/>
      <c r="B550" s="5"/>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5"/>
      <c r="B551" s="5"/>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5"/>
      <c r="B552" s="5"/>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5"/>
      <c r="B553" s="5"/>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5"/>
      <c r="B554" s="5"/>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5"/>
      <c r="B555" s="5"/>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5"/>
      <c r="B556" s="5"/>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5"/>
      <c r="B557" s="5"/>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5"/>
      <c r="B558" s="5"/>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5"/>
      <c r="B559" s="5"/>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5"/>
      <c r="B560" s="5"/>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5"/>
      <c r="B561" s="5"/>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5"/>
      <c r="B562" s="5"/>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5"/>
      <c r="B563" s="5"/>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5"/>
      <c r="B564" s="5"/>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5"/>
      <c r="B565" s="5"/>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5"/>
      <c r="B566" s="5"/>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5"/>
      <c r="B567" s="5"/>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5"/>
      <c r="B568" s="5"/>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5"/>
      <c r="B569" s="5"/>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5"/>
      <c r="B570" s="5"/>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5"/>
      <c r="B571" s="5"/>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5"/>
      <c r="B572" s="5"/>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5"/>
      <c r="B573" s="5"/>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5"/>
      <c r="B574" s="5"/>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5"/>
      <c r="B575" s="5"/>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5"/>
      <c r="B576" s="5"/>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5"/>
      <c r="B577" s="5"/>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5"/>
      <c r="B578" s="5"/>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5"/>
      <c r="B579" s="5"/>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5"/>
      <c r="B580" s="5"/>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5"/>
      <c r="B581" s="5"/>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5"/>
      <c r="B582" s="5"/>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5"/>
      <c r="B583" s="5"/>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5"/>
      <c r="B584" s="5"/>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5"/>
      <c r="B585" s="5"/>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5"/>
      <c r="B586" s="5"/>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5"/>
      <c r="B587" s="5"/>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5"/>
      <c r="B588" s="5"/>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5"/>
      <c r="B589" s="5"/>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5"/>
      <c r="B590" s="5"/>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5"/>
      <c r="B591" s="5"/>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5"/>
      <c r="B592" s="5"/>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5"/>
      <c r="B593" s="5"/>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5"/>
      <c r="B594" s="5"/>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5"/>
      <c r="B595" s="5"/>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5"/>
      <c r="B596" s="5"/>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5"/>
      <c r="B597" s="5"/>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5"/>
      <c r="B598" s="5"/>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5"/>
      <c r="B599" s="5"/>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5"/>
      <c r="B600" s="5"/>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5"/>
      <c r="B601" s="5"/>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5"/>
      <c r="B602" s="5"/>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5"/>
      <c r="B603" s="5"/>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5"/>
      <c r="B604" s="5"/>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5"/>
      <c r="B605" s="5"/>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5"/>
      <c r="B606" s="5"/>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5"/>
      <c r="B607" s="5"/>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5"/>
      <c r="B608" s="5"/>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5"/>
      <c r="B609" s="5"/>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5"/>
      <c r="B610" s="5"/>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5"/>
      <c r="B611" s="5"/>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5"/>
      <c r="B612" s="5"/>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5"/>
      <c r="B613" s="5"/>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5"/>
      <c r="B614" s="5"/>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5"/>
      <c r="B615" s="5"/>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5"/>
      <c r="B616" s="5"/>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5"/>
      <c r="B617" s="5"/>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5"/>
      <c r="B618" s="5"/>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5"/>
      <c r="B619" s="5"/>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5"/>
      <c r="B620" s="5"/>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5"/>
      <c r="B621" s="5"/>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5"/>
      <c r="B622" s="5"/>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5"/>
      <c r="B623" s="5"/>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5"/>
      <c r="B624" s="5"/>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5"/>
      <c r="B625" s="5"/>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5"/>
      <c r="B626" s="5"/>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5"/>
      <c r="B627" s="5"/>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5"/>
      <c r="B628" s="5"/>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5"/>
      <c r="B629" s="5"/>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5"/>
      <c r="B630" s="5"/>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5"/>
      <c r="B631" s="5"/>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5"/>
      <c r="B632" s="5"/>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5"/>
      <c r="B633" s="5"/>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5"/>
      <c r="B634" s="5"/>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5"/>
      <c r="B635" s="5"/>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5"/>
      <c r="B636" s="5"/>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5"/>
      <c r="B637" s="5"/>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5"/>
      <c r="B638" s="5"/>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5"/>
      <c r="B639" s="5"/>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5"/>
      <c r="B640" s="5"/>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5"/>
      <c r="B641" s="5"/>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5"/>
      <c r="B642" s="5"/>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5"/>
      <c r="B643" s="5"/>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5"/>
      <c r="B644" s="5"/>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5"/>
      <c r="B645" s="5"/>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5"/>
      <c r="B646" s="5"/>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5"/>
      <c r="B647" s="5"/>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5"/>
      <c r="B648" s="5"/>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5"/>
      <c r="B649" s="5"/>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5"/>
      <c r="B650" s="5"/>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5"/>
      <c r="B651" s="5"/>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5"/>
      <c r="B652" s="5"/>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5"/>
      <c r="B653" s="5"/>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5"/>
      <c r="B654" s="5"/>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5"/>
      <c r="B655" s="5"/>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5"/>
      <c r="B656" s="5"/>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5"/>
      <c r="B657" s="5"/>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5"/>
      <c r="B658" s="5"/>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5"/>
      <c r="B659" s="5"/>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5"/>
      <c r="B660" s="5"/>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5"/>
      <c r="B661" s="5"/>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5"/>
      <c r="B662" s="5"/>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5"/>
      <c r="B663" s="5"/>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5"/>
      <c r="B664" s="5"/>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5"/>
      <c r="B665" s="5"/>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5"/>
      <c r="B666" s="5"/>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5"/>
      <c r="B667" s="5"/>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5"/>
      <c r="B668" s="5"/>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5"/>
      <c r="B669" s="5"/>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5"/>
      <c r="B670" s="5"/>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5"/>
      <c r="B671" s="5"/>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5"/>
      <c r="B672" s="5"/>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5"/>
      <c r="B673" s="5"/>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5"/>
      <c r="B674" s="5"/>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5"/>
      <c r="B675" s="5"/>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5"/>
      <c r="B676" s="5"/>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5"/>
      <c r="B677" s="5"/>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5"/>
      <c r="B678" s="5"/>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5"/>
      <c r="B679" s="5"/>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5"/>
      <c r="B680" s="5"/>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5"/>
      <c r="B681" s="5"/>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5"/>
      <c r="B682" s="5"/>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5"/>
      <c r="B683" s="5"/>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5"/>
      <c r="B684" s="5"/>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5"/>
      <c r="B685" s="5"/>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5"/>
      <c r="B686" s="5"/>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5"/>
      <c r="B687" s="5"/>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5"/>
      <c r="B688" s="5"/>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5"/>
      <c r="B689" s="5"/>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5"/>
      <c r="B690" s="5"/>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5"/>
      <c r="B691" s="5"/>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5"/>
      <c r="B692" s="5"/>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5"/>
      <c r="B693" s="5"/>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5"/>
      <c r="B694" s="5"/>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5"/>
      <c r="B695" s="5"/>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5"/>
      <c r="B696" s="5"/>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5"/>
      <c r="B697" s="5"/>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5"/>
      <c r="B698" s="5"/>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5"/>
      <c r="B699" s="5"/>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5"/>
      <c r="B700" s="5"/>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5"/>
      <c r="B701" s="5"/>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5"/>
      <c r="B702" s="5"/>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5"/>
      <c r="B703" s="5"/>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5"/>
      <c r="B704" s="5"/>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5"/>
      <c r="B705" s="5"/>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5"/>
      <c r="B706" s="5"/>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5"/>
      <c r="B707" s="5"/>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5"/>
      <c r="B708" s="5"/>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5"/>
      <c r="B709" s="5"/>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5"/>
      <c r="B710" s="5"/>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5"/>
      <c r="B711" s="5"/>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5"/>
      <c r="B712" s="5"/>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5"/>
      <c r="B713" s="5"/>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5"/>
      <c r="B714" s="5"/>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5"/>
      <c r="B715" s="5"/>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5"/>
      <c r="B716" s="5"/>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5"/>
      <c r="B717" s="5"/>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5"/>
      <c r="B718" s="5"/>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5"/>
      <c r="B719" s="5"/>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5"/>
      <c r="B720" s="5"/>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5"/>
      <c r="B721" s="5"/>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5"/>
      <c r="B722" s="5"/>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5"/>
      <c r="B723" s="5"/>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5"/>
      <c r="B724" s="5"/>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5"/>
      <c r="B725" s="5"/>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5"/>
      <c r="B726" s="5"/>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5"/>
      <c r="B727" s="5"/>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5"/>
      <c r="B728" s="5"/>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5"/>
      <c r="B729" s="5"/>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5"/>
      <c r="B730" s="5"/>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5"/>
      <c r="B731" s="5"/>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5"/>
      <c r="B732" s="5"/>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5"/>
      <c r="B733" s="5"/>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5"/>
      <c r="B734" s="5"/>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5"/>
      <c r="B735" s="5"/>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5"/>
      <c r="B736" s="5"/>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5"/>
      <c r="B737" s="5"/>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5"/>
      <c r="B738" s="5"/>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5"/>
      <c r="B739" s="5"/>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5"/>
      <c r="B740" s="5"/>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5"/>
      <c r="B741" s="5"/>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5"/>
      <c r="B742" s="5"/>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5"/>
      <c r="B743" s="5"/>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5"/>
      <c r="B744" s="5"/>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5"/>
      <c r="B745" s="5"/>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5"/>
      <c r="B746" s="5"/>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5"/>
      <c r="B747" s="5"/>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5"/>
      <c r="B748" s="5"/>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5"/>
      <c r="B749" s="5"/>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5"/>
      <c r="B750" s="5"/>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5"/>
      <c r="B751" s="5"/>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5"/>
      <c r="B752" s="5"/>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5"/>
      <c r="B753" s="5"/>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5"/>
      <c r="B754" s="5"/>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5"/>
      <c r="B755" s="5"/>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5"/>
      <c r="B756" s="5"/>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5"/>
      <c r="B757" s="5"/>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5"/>
      <c r="B758" s="5"/>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5"/>
      <c r="B759" s="5"/>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5"/>
      <c r="B760" s="5"/>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5"/>
      <c r="B761" s="5"/>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5"/>
      <c r="B762" s="5"/>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5"/>
      <c r="B763" s="5"/>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5"/>
      <c r="B764" s="5"/>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5"/>
      <c r="B765" s="5"/>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5"/>
      <c r="B766" s="5"/>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5"/>
      <c r="B767" s="5"/>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5"/>
      <c r="B768" s="5"/>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5"/>
      <c r="B769" s="5"/>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5"/>
      <c r="B770" s="5"/>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5"/>
      <c r="B771" s="5"/>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5"/>
      <c r="B772" s="5"/>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5"/>
      <c r="B773" s="5"/>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5"/>
      <c r="B774" s="5"/>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5"/>
      <c r="B775" s="5"/>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5"/>
      <c r="B776" s="5"/>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5"/>
      <c r="B777" s="5"/>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5"/>
      <c r="B778" s="5"/>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5"/>
      <c r="B779" s="5"/>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5"/>
      <c r="B780" s="5"/>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5"/>
      <c r="B781" s="5"/>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5"/>
      <c r="B782" s="5"/>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5"/>
      <c r="B783" s="5"/>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5"/>
      <c r="B784" s="5"/>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5"/>
      <c r="B785" s="5"/>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5"/>
      <c r="B786" s="5"/>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5"/>
      <c r="B787" s="5"/>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5"/>
      <c r="B788" s="5"/>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5"/>
      <c r="B789" s="5"/>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5"/>
      <c r="B790" s="5"/>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5"/>
      <c r="B791" s="5"/>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5"/>
      <c r="B792" s="5"/>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5"/>
      <c r="B793" s="5"/>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5"/>
      <c r="B794" s="5"/>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5"/>
      <c r="B795" s="5"/>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5"/>
      <c r="B796" s="5"/>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5"/>
      <c r="B797" s="5"/>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5"/>
      <c r="B798" s="5"/>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5"/>
      <c r="B799" s="5"/>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5"/>
      <c r="B800" s="5"/>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5"/>
      <c r="B801" s="5"/>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5"/>
      <c r="B802" s="5"/>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5"/>
      <c r="B803" s="5"/>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5"/>
      <c r="B804" s="5"/>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5"/>
      <c r="B805" s="5"/>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5"/>
      <c r="B806" s="5"/>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5"/>
      <c r="B807" s="5"/>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5"/>
      <c r="B808" s="5"/>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5"/>
      <c r="B809" s="5"/>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5"/>
      <c r="B810" s="5"/>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5"/>
      <c r="B811" s="5"/>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5"/>
      <c r="B812" s="5"/>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5"/>
      <c r="B813" s="5"/>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5"/>
      <c r="B814" s="5"/>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5"/>
      <c r="B815" s="5"/>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5"/>
      <c r="B816" s="5"/>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5"/>
      <c r="B817" s="5"/>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5"/>
      <c r="B818" s="5"/>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5"/>
      <c r="B819" s="5"/>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5"/>
      <c r="B820" s="5"/>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5"/>
      <c r="B821" s="5"/>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5"/>
      <c r="B822" s="5"/>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5"/>
      <c r="B823" s="5"/>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5"/>
      <c r="B824" s="5"/>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5"/>
      <c r="B825" s="5"/>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5"/>
      <c r="B826" s="5"/>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5"/>
      <c r="B827" s="5"/>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5"/>
      <c r="B828" s="5"/>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5"/>
      <c r="B829" s="5"/>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5"/>
      <c r="B830" s="5"/>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5"/>
      <c r="B831" s="5"/>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5"/>
      <c r="B832" s="5"/>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5"/>
      <c r="B833" s="5"/>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5"/>
      <c r="B834" s="5"/>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5"/>
      <c r="B835" s="5"/>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5"/>
      <c r="B836" s="5"/>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5"/>
      <c r="B837" s="5"/>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5"/>
      <c r="B838" s="5"/>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5"/>
      <c r="B839" s="5"/>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5"/>
      <c r="B840" s="5"/>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5"/>
      <c r="B841" s="5"/>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5"/>
      <c r="B842" s="5"/>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5"/>
      <c r="B843" s="5"/>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5"/>
      <c r="B844" s="5"/>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5"/>
      <c r="B845" s="5"/>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5"/>
      <c r="B846" s="5"/>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5"/>
      <c r="B847" s="5"/>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5"/>
      <c r="B848" s="5"/>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5"/>
      <c r="B849" s="5"/>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5"/>
      <c r="B850" s="5"/>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5"/>
      <c r="B851" s="5"/>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5"/>
      <c r="B852" s="5"/>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5"/>
      <c r="B853" s="5"/>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5"/>
      <c r="B854" s="5"/>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5"/>
      <c r="B855" s="5"/>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5"/>
      <c r="B856" s="5"/>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5"/>
      <c r="B857" s="5"/>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5"/>
      <c r="B858" s="5"/>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5"/>
      <c r="B859" s="5"/>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5"/>
      <c r="B860" s="5"/>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5"/>
      <c r="B861" s="5"/>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5"/>
      <c r="B862" s="5"/>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5"/>
      <c r="B863" s="5"/>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5"/>
      <c r="B864" s="5"/>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5"/>
      <c r="B865" s="5"/>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5"/>
      <c r="B866" s="5"/>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5"/>
      <c r="B867" s="5"/>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5"/>
      <c r="B868" s="5"/>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5"/>
      <c r="B869" s="5"/>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5"/>
      <c r="B870" s="5"/>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5"/>
      <c r="B871" s="5"/>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5"/>
      <c r="B872" s="5"/>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5"/>
      <c r="B873" s="5"/>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5"/>
      <c r="B874" s="5"/>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5"/>
      <c r="B875" s="5"/>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5"/>
      <c r="B876" s="5"/>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5"/>
      <c r="B877" s="5"/>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5"/>
      <c r="B878" s="5"/>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5"/>
      <c r="B879" s="5"/>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5"/>
      <c r="B880" s="5"/>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5"/>
      <c r="B881" s="5"/>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5"/>
      <c r="B882" s="5"/>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5"/>
      <c r="B883" s="5"/>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5"/>
      <c r="B884" s="5"/>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5"/>
      <c r="B885" s="5"/>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5"/>
      <c r="B886" s="5"/>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5"/>
      <c r="B887" s="5"/>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5"/>
      <c r="B888" s="5"/>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5"/>
      <c r="B889" s="5"/>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5"/>
      <c r="B890" s="5"/>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5"/>
      <c r="B891" s="5"/>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5"/>
      <c r="B892" s="5"/>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5"/>
      <c r="B893" s="5"/>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5"/>
      <c r="B894" s="5"/>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5"/>
      <c r="B895" s="5"/>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5"/>
      <c r="B896" s="5"/>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5"/>
      <c r="B897" s="5"/>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5"/>
      <c r="B898" s="5"/>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5"/>
      <c r="B899" s="5"/>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5"/>
      <c r="B900" s="5"/>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5"/>
      <c r="B901" s="5"/>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5"/>
      <c r="B902" s="5"/>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5"/>
      <c r="B903" s="5"/>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5"/>
      <c r="B904" s="5"/>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5"/>
      <c r="B905" s="5"/>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5"/>
      <c r="B906" s="5"/>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5"/>
      <c r="B907" s="5"/>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5"/>
      <c r="B908" s="5"/>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5"/>
      <c r="B909" s="5"/>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5"/>
      <c r="B910" s="5"/>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5"/>
      <c r="B911" s="5"/>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5"/>
      <c r="B912" s="5"/>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5"/>
      <c r="B913" s="5"/>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5"/>
      <c r="B914" s="5"/>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5"/>
      <c r="B915" s="5"/>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5"/>
      <c r="B916" s="5"/>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5"/>
      <c r="B917" s="5"/>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5"/>
      <c r="B918" s="5"/>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5"/>
      <c r="B919" s="5"/>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5"/>
      <c r="B920" s="5"/>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5"/>
      <c r="B921" s="5"/>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5"/>
      <c r="B922" s="5"/>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5"/>
      <c r="B923" s="5"/>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5"/>
      <c r="B924" s="5"/>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5"/>
      <c r="B925" s="5"/>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5"/>
      <c r="B926" s="5"/>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5"/>
      <c r="B927" s="5"/>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5"/>
      <c r="B928" s="5"/>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5"/>
      <c r="B929" s="5"/>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5"/>
      <c r="B930" s="5"/>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5"/>
      <c r="B931" s="5"/>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5"/>
      <c r="B932" s="5"/>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5"/>
      <c r="B933" s="5"/>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5"/>
      <c r="B934" s="5"/>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5"/>
      <c r="B935" s="5"/>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5"/>
      <c r="B936" s="5"/>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5"/>
      <c r="B937" s="5"/>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5"/>
      <c r="B938" s="5"/>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5"/>
      <c r="B939" s="5"/>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5"/>
      <c r="B940" s="5"/>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5"/>
      <c r="B941" s="5"/>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5"/>
      <c r="B942" s="5"/>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5"/>
      <c r="B943" s="5"/>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5"/>
      <c r="B944" s="5"/>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5"/>
      <c r="B945" s="5"/>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5"/>
      <c r="B946" s="5"/>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5"/>
      <c r="B947" s="5"/>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5"/>
      <c r="B948" s="5"/>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5"/>
      <c r="B949" s="5"/>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5"/>
      <c r="B950" s="5"/>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5"/>
      <c r="B951" s="5"/>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5"/>
      <c r="B952" s="5"/>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5"/>
      <c r="B953" s="5"/>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5"/>
      <c r="B954" s="5"/>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5"/>
      <c r="B955" s="5"/>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5"/>
      <c r="B956" s="5"/>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5"/>
      <c r="B957" s="5"/>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5"/>
      <c r="B958" s="5"/>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5"/>
      <c r="B959" s="5"/>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5"/>
      <c r="B960" s="5"/>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5"/>
      <c r="B961" s="5"/>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5"/>
      <c r="B962" s="5"/>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5"/>
      <c r="B963" s="5"/>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5"/>
      <c r="B964" s="5"/>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5"/>
      <c r="B965" s="5"/>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5"/>
      <c r="B966" s="5"/>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5"/>
      <c r="B967" s="5"/>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5"/>
      <c r="B968" s="5"/>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5"/>
      <c r="B969" s="5"/>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5"/>
      <c r="B970" s="5"/>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5"/>
      <c r="B971" s="5"/>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5"/>
      <c r="B972" s="5"/>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5"/>
      <c r="B973" s="5"/>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5"/>
      <c r="B974" s="5"/>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5"/>
      <c r="B975" s="5"/>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5"/>
      <c r="B976" s="5"/>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5"/>
      <c r="B977" s="5"/>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5"/>
      <c r="B978" s="5"/>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5"/>
      <c r="B979" s="5"/>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5"/>
      <c r="B980" s="5"/>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5"/>
      <c r="B981" s="5"/>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5"/>
      <c r="B982" s="5"/>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5"/>
      <c r="B983" s="5"/>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5"/>
      <c r="B984" s="5"/>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5"/>
      <c r="B985" s="5"/>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5"/>
      <c r="B986" s="5"/>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5"/>
      <c r="B987" s="5"/>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5"/>
      <c r="B988" s="5"/>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5"/>
      <c r="B989" s="5"/>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5"/>
      <c r="B990" s="5"/>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5"/>
      <c r="B991" s="5"/>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5"/>
      <c r="B992" s="5"/>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5"/>
      <c r="B993" s="5"/>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5"/>
      <c r="B994" s="5"/>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5"/>
      <c r="B995" s="5"/>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5"/>
      <c r="B996" s="5"/>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5"/>
      <c r="B997" s="5"/>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5"/>
      <c r="B998" s="5"/>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5"/>
      <c r="B999" s="5"/>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5"/>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5"/>
      <c r="B1001" s="5"/>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5"/>
      <c r="B1002" s="5"/>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5"/>
      <c r="B1003" s="5"/>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5"/>
      <c r="B1004" s="5"/>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5"/>
      <c r="B1005" s="5"/>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s>
  <printOptions/>
  <pageMargins bottom="0.75" footer="0.0" header="0.0" left="0.7" right="0.7" top="0.75"/>
  <pageSetup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
    <col customWidth="1" min="2" max="2" width="22.86"/>
  </cols>
  <sheetData>
    <row r="1">
      <c r="A1" s="1" t="s">
        <v>1</v>
      </c>
      <c r="B1" s="1" t="str">
        <f t="shared" ref="B1:U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c r="L1" s="1" t="str">
        <f t="shared" si="1"/>
        <v>lectura_11</v>
      </c>
      <c r="M1" s="1" t="str">
        <f t="shared" si="1"/>
        <v>lectura_12</v>
      </c>
      <c r="N1" s="1" t="str">
        <f t="shared" si="1"/>
        <v>lectura_13</v>
      </c>
      <c r="O1" s="1" t="str">
        <f t="shared" si="1"/>
        <v>lectura_14</v>
      </c>
      <c r="P1" s="1" t="str">
        <f t="shared" si="1"/>
        <v>lectura_15</v>
      </c>
      <c r="Q1" s="1" t="str">
        <f t="shared" si="1"/>
        <v>lectura_16</v>
      </c>
      <c r="R1" s="1" t="str">
        <f t="shared" si="1"/>
        <v>lectura_17</v>
      </c>
      <c r="S1" s="1" t="str">
        <f t="shared" si="1"/>
        <v>lectura_18</v>
      </c>
      <c r="T1" s="1" t="str">
        <f t="shared" si="1"/>
        <v>lectura_19</v>
      </c>
      <c r="U1" s="1" t="str">
        <f t="shared" si="1"/>
        <v>lectura_20</v>
      </c>
    </row>
    <row r="2">
      <c r="A2" s="1" t="str">
        <f t="shared" ref="A2:A13" si="2">"ch_"&amp;ROWS($A$1:A1)</f>
        <v>ch_1</v>
      </c>
      <c r="B2" s="1" t="s">
        <v>25</v>
      </c>
      <c r="C2" s="1" t="s">
        <v>26</v>
      </c>
    </row>
    <row r="3">
      <c r="A3" s="1" t="str">
        <f t="shared" si="2"/>
        <v>ch_2</v>
      </c>
      <c r="B3" s="1" t="s">
        <v>31</v>
      </c>
      <c r="C3" s="1" t="s">
        <v>36</v>
      </c>
    </row>
    <row r="4">
      <c r="A4" s="1" t="str">
        <f t="shared" si="2"/>
        <v>ch_3</v>
      </c>
      <c r="B4" s="1" t="s">
        <v>40</v>
      </c>
      <c r="C4" s="1" t="s">
        <v>43</v>
      </c>
    </row>
    <row r="5">
      <c r="A5" s="1" t="str">
        <f t="shared" si="2"/>
        <v>ch_4</v>
      </c>
      <c r="B5" s="1" t="s">
        <v>45</v>
      </c>
      <c r="C5" s="1" t="s">
        <v>47</v>
      </c>
    </row>
    <row r="6">
      <c r="A6" s="1" t="str">
        <f t="shared" si="2"/>
        <v>ch_5</v>
      </c>
      <c r="B6" s="1" t="s">
        <v>49</v>
      </c>
      <c r="C6" s="1" t="s">
        <v>51</v>
      </c>
    </row>
    <row r="7">
      <c r="A7" s="1" t="str">
        <f t="shared" si="2"/>
        <v>ch_6</v>
      </c>
      <c r="B7" s="1" t="s">
        <v>53</v>
      </c>
      <c r="C7" s="1" t="s">
        <v>56</v>
      </c>
    </row>
    <row r="8">
      <c r="A8" s="1" t="str">
        <f t="shared" si="2"/>
        <v>ch_7</v>
      </c>
      <c r="B8" s="1" t="s">
        <v>58</v>
      </c>
      <c r="C8" s="1" t="s">
        <v>60</v>
      </c>
    </row>
    <row r="9">
      <c r="A9" s="1" t="str">
        <f t="shared" si="2"/>
        <v>ch_8</v>
      </c>
      <c r="B9" s="1" t="s">
        <v>63</v>
      </c>
      <c r="C9" s="1" t="s">
        <v>64</v>
      </c>
    </row>
    <row r="10">
      <c r="A10" s="1" t="str">
        <f t="shared" si="2"/>
        <v>ch_9</v>
      </c>
      <c r="B10" s="1" t="s">
        <v>72</v>
      </c>
      <c r="C10" s="1" t="s">
        <v>74</v>
      </c>
    </row>
    <row r="11">
      <c r="A11" s="1" t="str">
        <f t="shared" si="2"/>
        <v>ch_10</v>
      </c>
      <c r="C11" s="1" t="s">
        <v>75</v>
      </c>
    </row>
    <row r="12">
      <c r="A12" s="1" t="str">
        <f t="shared" si="2"/>
        <v>ch_11</v>
      </c>
      <c r="C12" s="1" t="s">
        <v>79</v>
      </c>
    </row>
    <row r="13">
      <c r="A13" s="1" t="str">
        <f t="shared" si="2"/>
        <v>ch_12</v>
      </c>
      <c r="C13" s="1" t="s">
        <v>83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v>
      </c>
      <c r="B1" s="1" t="str">
        <f t="shared" ref="B1:K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row>
    <row r="2">
      <c r="A2" s="1" t="str">
        <f t="shared" ref="A2:A10" si="2">"aprendizaje_"&amp;ROWS($A$1:A1)</f>
        <v>aprendizaje_1</v>
      </c>
      <c r="B2" s="1" t="s">
        <v>17</v>
      </c>
      <c r="C2" s="1" t="s">
        <v>18</v>
      </c>
    </row>
    <row r="3">
      <c r="A3" s="1" t="str">
        <f t="shared" si="2"/>
        <v>aprendizaje_2</v>
      </c>
      <c r="B3" s="1" t="s">
        <v>19</v>
      </c>
      <c r="C3" s="1" t="s">
        <v>20</v>
      </c>
    </row>
    <row r="4">
      <c r="A4" s="1" t="str">
        <f t="shared" si="2"/>
        <v>aprendizaje_3</v>
      </c>
      <c r="B4" s="1" t="s">
        <v>21</v>
      </c>
      <c r="C4" s="1" t="s">
        <v>22</v>
      </c>
    </row>
    <row r="5">
      <c r="A5" s="1" t="str">
        <f t="shared" si="2"/>
        <v>aprendizaje_4</v>
      </c>
      <c r="B5" s="1" t="s">
        <v>23</v>
      </c>
      <c r="C5" s="1" t="s">
        <v>24</v>
      </c>
    </row>
    <row r="6">
      <c r="A6" s="1" t="str">
        <f t="shared" si="2"/>
        <v>aprendizaje_5</v>
      </c>
      <c r="B6" s="1" t="s">
        <v>27</v>
      </c>
    </row>
    <row r="7">
      <c r="A7" s="1" t="str">
        <f t="shared" si="2"/>
        <v>aprendizaje_6</v>
      </c>
      <c r="B7" s="1" t="s">
        <v>35</v>
      </c>
    </row>
    <row r="8">
      <c r="A8" s="1" t="str">
        <f t="shared" si="2"/>
        <v>aprendizaje_7</v>
      </c>
      <c r="B8" s="1" t="s">
        <v>42</v>
      </c>
    </row>
    <row r="9">
      <c r="A9" s="1" t="str">
        <f t="shared" si="2"/>
        <v>aprendizaje_8</v>
      </c>
      <c r="B9" s="1" t="s">
        <v>44</v>
      </c>
    </row>
    <row r="10">
      <c r="A10" s="1" t="str">
        <f t="shared" si="2"/>
        <v>aprendizaje_9</v>
      </c>
      <c r="B10" s="1" t="s">
        <v>48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sheetData>
    <row r="1">
      <c r="A1" s="1" t="s">
        <v>4</v>
      </c>
      <c r="B1" s="1" t="str">
        <f t="shared" ref="B1:U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c r="L1" s="1" t="str">
        <f t="shared" si="1"/>
        <v>lectura_11</v>
      </c>
      <c r="M1" s="1" t="str">
        <f t="shared" si="1"/>
        <v>lectura_12</v>
      </c>
      <c r="N1" s="1" t="str">
        <f t="shared" si="1"/>
        <v>lectura_13</v>
      </c>
      <c r="O1" s="1" t="str">
        <f t="shared" si="1"/>
        <v>lectura_14</v>
      </c>
      <c r="P1" s="1" t="str">
        <f t="shared" si="1"/>
        <v>lectura_15</v>
      </c>
      <c r="Q1" s="1" t="str">
        <f t="shared" si="1"/>
        <v>lectura_16</v>
      </c>
      <c r="R1" s="1" t="str">
        <f t="shared" si="1"/>
        <v>lectura_17</v>
      </c>
      <c r="S1" s="1" t="str">
        <f t="shared" si="1"/>
        <v>lectura_18</v>
      </c>
      <c r="T1" s="1" t="str">
        <f t="shared" si="1"/>
        <v>lectura_19</v>
      </c>
      <c r="U1" s="1" t="str">
        <f t="shared" si="1"/>
        <v>lectura_20</v>
      </c>
    </row>
    <row r="2">
      <c r="A2" s="1" t="str">
        <f t="shared" ref="A2:A27" si="2">"referencia_"&amp;ROWS($A$1:A1)</f>
        <v>referencia_1</v>
      </c>
      <c r="B2" s="1" t="s">
        <v>30</v>
      </c>
      <c r="C2" s="1" t="s">
        <v>33</v>
      </c>
      <c r="D2" s="1" t="s">
        <v>37</v>
      </c>
      <c r="G2" s="1" t="str">
        <f>IFERROR(__xludf.DUMMYFUNCTION("AI(""Introduce un valor adecuado para esta celda según el contexto de la tabla"")"),"=AI(""Introduce un valor adecuado para esta celda según el contexto de la tabla"")")</f>
        <v>=AI("Introduce un valor adecuado para esta celda según el contexto de la tabla")</v>
      </c>
      <c r="H2" s="1" t="s">
        <v>46</v>
      </c>
    </row>
    <row r="3">
      <c r="A3" s="1" t="str">
        <f t="shared" si="2"/>
        <v>referencia_2</v>
      </c>
      <c r="B3" s="1" t="s">
        <v>50</v>
      </c>
      <c r="C3" s="1" t="s">
        <v>52</v>
      </c>
      <c r="D3" s="1" t="s">
        <v>54</v>
      </c>
      <c r="H3" s="1" t="s">
        <v>55</v>
      </c>
    </row>
    <row r="4">
      <c r="A4" s="1" t="str">
        <f t="shared" si="2"/>
        <v>referencia_3</v>
      </c>
      <c r="B4" s="1" t="s">
        <v>57</v>
      </c>
      <c r="C4" s="1" t="s">
        <v>59</v>
      </c>
      <c r="D4" s="1" t="s">
        <v>61</v>
      </c>
      <c r="H4" s="1" t="s">
        <v>62</v>
      </c>
    </row>
    <row r="5">
      <c r="A5" s="1" t="str">
        <f t="shared" si="2"/>
        <v>referencia_4</v>
      </c>
      <c r="B5" s="1" t="s">
        <v>67</v>
      </c>
      <c r="C5" s="1" t="s">
        <v>69</v>
      </c>
      <c r="D5" s="1" t="s">
        <v>71</v>
      </c>
      <c r="H5" s="1" t="s">
        <v>73</v>
      </c>
    </row>
    <row r="6">
      <c r="A6" s="1" t="str">
        <f t="shared" si="2"/>
        <v>referencia_5</v>
      </c>
      <c r="B6" s="1" t="s">
        <v>76</v>
      </c>
      <c r="C6" s="1" t="s">
        <v>77</v>
      </c>
      <c r="D6" s="1" t="s">
        <v>78</v>
      </c>
      <c r="H6" s="1" t="s">
        <v>80</v>
      </c>
    </row>
    <row r="7">
      <c r="A7" s="1" t="str">
        <f t="shared" si="2"/>
        <v>referencia_6</v>
      </c>
      <c r="B7" s="1" t="s">
        <v>85</v>
      </c>
      <c r="C7" s="1" t="s">
        <v>87</v>
      </c>
      <c r="D7" s="1" t="s">
        <v>89</v>
      </c>
      <c r="H7" s="1" t="s">
        <v>91</v>
      </c>
    </row>
    <row r="8">
      <c r="A8" s="1" t="str">
        <f t="shared" si="2"/>
        <v>referencia_7</v>
      </c>
      <c r="B8" s="1" t="s">
        <v>92</v>
      </c>
      <c r="C8" s="1" t="s">
        <v>93</v>
      </c>
      <c r="D8" s="1" t="s">
        <v>94</v>
      </c>
      <c r="H8" s="1" t="s">
        <v>95</v>
      </c>
    </row>
    <row r="9">
      <c r="A9" s="1" t="str">
        <f t="shared" si="2"/>
        <v>referencia_8</v>
      </c>
      <c r="B9" s="1" t="s">
        <v>96</v>
      </c>
      <c r="C9" s="1" t="s">
        <v>97</v>
      </c>
      <c r="D9" s="1" t="s">
        <v>99</v>
      </c>
      <c r="H9" s="1" t="s">
        <v>102</v>
      </c>
    </row>
    <row r="10">
      <c r="A10" s="1" t="str">
        <f t="shared" si="2"/>
        <v>referencia_9</v>
      </c>
      <c r="B10" s="1" t="s">
        <v>104</v>
      </c>
      <c r="C10" s="1" t="s">
        <v>105</v>
      </c>
      <c r="D10" s="1" t="s">
        <v>106</v>
      </c>
      <c r="H10" s="1" t="s">
        <v>107</v>
      </c>
    </row>
    <row r="11">
      <c r="A11" s="1" t="str">
        <f t="shared" si="2"/>
        <v>referencia_10</v>
      </c>
      <c r="B11" s="1" t="s">
        <v>109</v>
      </c>
      <c r="C11" s="1" t="s">
        <v>111</v>
      </c>
      <c r="D11" s="1" t="s">
        <v>114</v>
      </c>
      <c r="H11" s="1" t="s">
        <v>116</v>
      </c>
    </row>
    <row r="12">
      <c r="A12" s="1" t="str">
        <f t="shared" si="2"/>
        <v>referencia_11</v>
      </c>
      <c r="B12" s="1" t="s">
        <v>118</v>
      </c>
      <c r="C12" s="1" t="s">
        <v>119</v>
      </c>
      <c r="D12" s="1" t="s">
        <v>120</v>
      </c>
      <c r="H12" s="1" t="s">
        <v>121</v>
      </c>
    </row>
    <row r="13">
      <c r="A13" s="1" t="str">
        <f t="shared" si="2"/>
        <v>referencia_12</v>
      </c>
      <c r="B13" s="1" t="s">
        <v>122</v>
      </c>
      <c r="C13" s="1" t="s">
        <v>123</v>
      </c>
      <c r="D13" s="1" t="s">
        <v>124</v>
      </c>
      <c r="H13" s="1" t="s">
        <v>125</v>
      </c>
    </row>
    <row r="14">
      <c r="A14" s="1" t="str">
        <f t="shared" si="2"/>
        <v>referencia_13</v>
      </c>
      <c r="B14" s="1" t="s">
        <v>130</v>
      </c>
      <c r="C14" s="1" t="s">
        <v>131</v>
      </c>
      <c r="D14" s="1" t="s">
        <v>132</v>
      </c>
      <c r="H14" s="1" t="s">
        <v>133</v>
      </c>
    </row>
    <row r="15">
      <c r="A15" s="1" t="str">
        <f t="shared" si="2"/>
        <v>referencia_14</v>
      </c>
      <c r="B15" s="1" t="s">
        <v>134</v>
      </c>
      <c r="C15" s="1" t="s">
        <v>135</v>
      </c>
      <c r="D15" s="1" t="s">
        <v>137</v>
      </c>
      <c r="H15" s="1" t="s">
        <v>140</v>
      </c>
    </row>
    <row r="16">
      <c r="A16" s="1" t="str">
        <f t="shared" si="2"/>
        <v>referencia_15</v>
      </c>
      <c r="B16" s="1" t="s">
        <v>143</v>
      </c>
      <c r="C16" s="1" t="s">
        <v>144</v>
      </c>
      <c r="D16" s="1" t="s">
        <v>145</v>
      </c>
      <c r="H16" s="1" t="s">
        <v>146</v>
      </c>
    </row>
    <row r="17">
      <c r="A17" s="1" t="str">
        <f t="shared" si="2"/>
        <v>referencia_16</v>
      </c>
      <c r="C17" s="1" t="s">
        <v>147</v>
      </c>
      <c r="D17" s="1" t="s">
        <v>148</v>
      </c>
      <c r="H17" s="1" t="s">
        <v>149</v>
      </c>
    </row>
    <row r="18">
      <c r="A18" s="1" t="str">
        <f t="shared" si="2"/>
        <v>referencia_17</v>
      </c>
      <c r="C18" s="1" t="s">
        <v>154</v>
      </c>
      <c r="D18" s="1" t="s">
        <v>155</v>
      </c>
      <c r="H18" s="1" t="s">
        <v>156</v>
      </c>
    </row>
    <row r="19">
      <c r="A19" s="1" t="str">
        <f t="shared" si="2"/>
        <v>referencia_18</v>
      </c>
      <c r="C19" s="1" t="s">
        <v>157</v>
      </c>
      <c r="D19" s="1" t="s">
        <v>158</v>
      </c>
      <c r="H19" s="1" t="s">
        <v>161</v>
      </c>
    </row>
    <row r="20">
      <c r="A20" s="1" t="str">
        <f t="shared" si="2"/>
        <v>referencia_19</v>
      </c>
      <c r="C20" s="1" t="s">
        <v>163</v>
      </c>
      <c r="D20" s="1" t="s">
        <v>165</v>
      </c>
      <c r="H20" s="1" t="s">
        <v>166</v>
      </c>
    </row>
    <row r="21">
      <c r="A21" s="1" t="str">
        <f t="shared" si="2"/>
        <v>referencia_20</v>
      </c>
      <c r="C21" s="1" t="s">
        <v>167</v>
      </c>
      <c r="D21" s="1" t="s">
        <v>168</v>
      </c>
      <c r="H21" s="1" t="s">
        <v>169</v>
      </c>
    </row>
    <row r="22">
      <c r="A22" s="1" t="str">
        <f t="shared" si="2"/>
        <v>referencia_21</v>
      </c>
      <c r="C22" s="1" t="s">
        <v>170</v>
      </c>
      <c r="D22" s="1" t="s">
        <v>171</v>
      </c>
    </row>
    <row r="23">
      <c r="A23" s="1" t="str">
        <f t="shared" si="2"/>
        <v>referencia_22</v>
      </c>
      <c r="C23" s="1" t="s">
        <v>174</v>
      </c>
      <c r="D23" s="1" t="s">
        <v>175</v>
      </c>
    </row>
    <row r="24">
      <c r="A24" s="1" t="str">
        <f t="shared" si="2"/>
        <v>referencia_23</v>
      </c>
      <c r="D24" s="1" t="s">
        <v>176</v>
      </c>
    </row>
    <row r="25">
      <c r="A25" s="1" t="str">
        <f t="shared" si="2"/>
        <v>referencia_24</v>
      </c>
      <c r="D25" s="1" t="s">
        <v>177</v>
      </c>
    </row>
    <row r="26">
      <c r="A26" s="1" t="str">
        <f t="shared" si="2"/>
        <v>referencia_25</v>
      </c>
    </row>
    <row r="27">
      <c r="A27" s="1" t="str">
        <f t="shared" si="2"/>
        <v>referencia_26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205</v>
      </c>
      <c r="B1" s="1" t="str">
        <f t="shared" ref="B1:U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c r="L1" s="1" t="str">
        <f t="shared" si="1"/>
        <v>lectura_11</v>
      </c>
      <c r="M1" s="1" t="str">
        <f t="shared" si="1"/>
        <v>lectura_12</v>
      </c>
      <c r="N1" s="1" t="str">
        <f t="shared" si="1"/>
        <v>lectura_13</v>
      </c>
      <c r="O1" s="1" t="str">
        <f t="shared" si="1"/>
        <v>lectura_14</v>
      </c>
      <c r="P1" s="1" t="str">
        <f t="shared" si="1"/>
        <v>lectura_15</v>
      </c>
      <c r="Q1" s="1" t="str">
        <f t="shared" si="1"/>
        <v>lectura_16</v>
      </c>
      <c r="R1" s="1" t="str">
        <f t="shared" si="1"/>
        <v>lectura_17</v>
      </c>
      <c r="S1" s="1" t="str">
        <f t="shared" si="1"/>
        <v>lectura_18</v>
      </c>
      <c r="T1" s="1" t="str">
        <f t="shared" si="1"/>
        <v>lectura_19</v>
      </c>
      <c r="U1" s="1" t="str">
        <f t="shared" si="1"/>
        <v>lectura_20</v>
      </c>
    </row>
    <row r="2">
      <c r="A2" s="1" t="str">
        <f t="shared" ref="A2:A4" si="2">"pregunta_"&amp;ROWS($A$1:A1)</f>
        <v>pregunta_1</v>
      </c>
      <c r="B2" s="1" t="s">
        <v>215</v>
      </c>
      <c r="C2" s="1" t="s">
        <v>216</v>
      </c>
      <c r="D2" s="1" t="s">
        <v>217</v>
      </c>
    </row>
    <row r="3">
      <c r="A3" s="1" t="str">
        <f t="shared" si="2"/>
        <v>pregunta_2</v>
      </c>
      <c r="B3" s="1" t="s">
        <v>218</v>
      </c>
      <c r="C3" s="1" t="s">
        <v>219</v>
      </c>
      <c r="D3" s="1" t="s">
        <v>220</v>
      </c>
    </row>
    <row r="4">
      <c r="A4" s="1" t="str">
        <f t="shared" si="2"/>
        <v>pregunta_3</v>
      </c>
      <c r="B4" s="1" t="s">
        <v>221</v>
      </c>
      <c r="C4" s="1" t="s">
        <v>222</v>
      </c>
      <c r="D4" s="1" t="s">
        <v>223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205</v>
      </c>
      <c r="B1" s="1" t="str">
        <f t="shared" ref="B1:U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c r="L1" s="1" t="str">
        <f t="shared" si="1"/>
        <v>lectura_11</v>
      </c>
      <c r="M1" s="1" t="str">
        <f t="shared" si="1"/>
        <v>lectura_12</v>
      </c>
      <c r="N1" s="1" t="str">
        <f t="shared" si="1"/>
        <v>lectura_13</v>
      </c>
      <c r="O1" s="1" t="str">
        <f t="shared" si="1"/>
        <v>lectura_14</v>
      </c>
      <c r="P1" s="1" t="str">
        <f t="shared" si="1"/>
        <v>lectura_15</v>
      </c>
      <c r="Q1" s="1" t="str">
        <f t="shared" si="1"/>
        <v>lectura_16</v>
      </c>
      <c r="R1" s="1" t="str">
        <f t="shared" si="1"/>
        <v>lectura_17</v>
      </c>
      <c r="S1" s="1" t="str">
        <f t="shared" si="1"/>
        <v>lectura_18</v>
      </c>
      <c r="T1" s="1" t="str">
        <f t="shared" si="1"/>
        <v>lectura_19</v>
      </c>
      <c r="U1" s="1" t="str">
        <f t="shared" si="1"/>
        <v>lectura_20</v>
      </c>
    </row>
    <row r="2">
      <c r="A2" s="1" t="str">
        <f t="shared" ref="A2:A4" si="2">"pregunta_"&amp;ROWS($A$1:A1)</f>
        <v>pregunta_1</v>
      </c>
      <c r="B2" s="1" t="s">
        <v>252</v>
      </c>
      <c r="C2" s="1" t="s">
        <v>254</v>
      </c>
      <c r="D2" s="1" t="s">
        <v>255</v>
      </c>
    </row>
    <row r="3">
      <c r="A3" s="1" t="str">
        <f t="shared" si="2"/>
        <v>pregunta_2</v>
      </c>
      <c r="B3" s="1" t="s">
        <v>256</v>
      </c>
      <c r="C3" s="1" t="s">
        <v>257</v>
      </c>
      <c r="D3" s="1" t="s">
        <v>258</v>
      </c>
    </row>
    <row r="4">
      <c r="A4" s="1" t="str">
        <f t="shared" si="2"/>
        <v>pregunta_3</v>
      </c>
      <c r="B4" s="1" t="s">
        <v>262</v>
      </c>
      <c r="C4" s="1" t="s">
        <v>263</v>
      </c>
      <c r="D4" s="1" t="s">
        <v>264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273</v>
      </c>
      <c r="B1" s="1" t="str">
        <f t="shared" ref="B1:U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c r="L1" s="1" t="str">
        <f t="shared" si="1"/>
        <v>lectura_11</v>
      </c>
      <c r="M1" s="1" t="str">
        <f t="shared" si="1"/>
        <v>lectura_12</v>
      </c>
      <c r="N1" s="1" t="str">
        <f t="shared" si="1"/>
        <v>lectura_13</v>
      </c>
      <c r="O1" s="1" t="str">
        <f t="shared" si="1"/>
        <v>lectura_14</v>
      </c>
      <c r="P1" s="1" t="str">
        <f t="shared" si="1"/>
        <v>lectura_15</v>
      </c>
      <c r="Q1" s="1" t="str">
        <f t="shared" si="1"/>
        <v>lectura_16</v>
      </c>
      <c r="R1" s="1" t="str">
        <f t="shared" si="1"/>
        <v>lectura_17</v>
      </c>
      <c r="S1" s="1" t="str">
        <f t="shared" si="1"/>
        <v>lectura_18</v>
      </c>
      <c r="T1" s="1" t="str">
        <f t="shared" si="1"/>
        <v>lectura_19</v>
      </c>
      <c r="U1" s="1" t="str">
        <f t="shared" si="1"/>
        <v>lectura_20</v>
      </c>
    </row>
    <row r="2">
      <c r="A2" s="1" t="str">
        <f t="shared" ref="A2:A21" si="2">"sugerencia_"&amp;ROWS($A$1:A1)</f>
        <v>sugerencia_1</v>
      </c>
      <c r="C2" s="1" t="s">
        <v>283</v>
      </c>
    </row>
    <row r="3">
      <c r="A3" s="1" t="str">
        <f t="shared" si="2"/>
        <v>sugerencia_2</v>
      </c>
      <c r="C3" s="1" t="s">
        <v>287</v>
      </c>
    </row>
    <row r="4">
      <c r="A4" s="1" t="str">
        <f t="shared" si="2"/>
        <v>sugerencia_3</v>
      </c>
      <c r="C4" s="1" t="s">
        <v>288</v>
      </c>
    </row>
    <row r="5">
      <c r="A5" s="1" t="str">
        <f t="shared" si="2"/>
        <v>sugerencia_4</v>
      </c>
      <c r="C5" s="1" t="s">
        <v>289</v>
      </c>
    </row>
    <row r="6">
      <c r="A6" s="1" t="str">
        <f t="shared" si="2"/>
        <v>sugerencia_5</v>
      </c>
      <c r="C6" s="1" t="s">
        <v>290</v>
      </c>
    </row>
    <row r="7">
      <c r="A7" s="1" t="str">
        <f t="shared" si="2"/>
        <v>sugerencia_6</v>
      </c>
    </row>
    <row r="8">
      <c r="A8" s="1" t="str">
        <f t="shared" si="2"/>
        <v>sugerencia_7</v>
      </c>
    </row>
    <row r="9">
      <c r="A9" s="1" t="str">
        <f t="shared" si="2"/>
        <v>sugerencia_8</v>
      </c>
    </row>
    <row r="10">
      <c r="A10" s="1" t="str">
        <f t="shared" si="2"/>
        <v>sugerencia_9</v>
      </c>
    </row>
    <row r="11">
      <c r="A11" s="1" t="str">
        <f t="shared" si="2"/>
        <v>sugerencia_10</v>
      </c>
    </row>
    <row r="12">
      <c r="A12" s="1" t="str">
        <f t="shared" si="2"/>
        <v>sugerencia_11</v>
      </c>
    </row>
    <row r="13">
      <c r="A13" s="1" t="str">
        <f t="shared" si="2"/>
        <v>sugerencia_12</v>
      </c>
    </row>
    <row r="14">
      <c r="A14" s="1" t="str">
        <f t="shared" si="2"/>
        <v>sugerencia_13</v>
      </c>
    </row>
    <row r="15">
      <c r="A15" s="1" t="str">
        <f t="shared" si="2"/>
        <v>sugerencia_14</v>
      </c>
    </row>
    <row r="16">
      <c r="A16" s="1" t="str">
        <f t="shared" si="2"/>
        <v>sugerencia_15</v>
      </c>
    </row>
    <row r="17">
      <c r="A17" s="1" t="str">
        <f t="shared" si="2"/>
        <v>sugerencia_16</v>
      </c>
    </row>
    <row r="18">
      <c r="A18" s="1" t="str">
        <f t="shared" si="2"/>
        <v>sugerencia_17</v>
      </c>
    </row>
    <row r="19">
      <c r="A19" s="1" t="str">
        <f t="shared" si="2"/>
        <v>sugerencia_18</v>
      </c>
    </row>
    <row r="20">
      <c r="A20" s="1" t="str">
        <f t="shared" si="2"/>
        <v>sugerencia_19</v>
      </c>
    </row>
    <row r="21">
      <c r="A21" s="1" t="str">
        <f t="shared" si="2"/>
        <v>sugerencia_20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273</v>
      </c>
      <c r="B1" s="1" t="str">
        <f t="shared" ref="B1:K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row>
    <row r="2">
      <c r="A2" s="1" t="str">
        <f t="shared" ref="A2:A20" si="2">"sugerencia_"&amp;ROWS($A$1:A1)</f>
        <v>sugerencia_1</v>
      </c>
      <c r="C2" s="1" t="s">
        <v>291</v>
      </c>
    </row>
    <row r="3">
      <c r="A3" s="1" t="str">
        <f t="shared" si="2"/>
        <v>sugerencia_2</v>
      </c>
      <c r="C3" s="1" t="s">
        <v>292</v>
      </c>
    </row>
    <row r="4">
      <c r="A4" s="1" t="str">
        <f t="shared" si="2"/>
        <v>sugerencia_3</v>
      </c>
      <c r="C4" s="1" t="s">
        <v>293</v>
      </c>
    </row>
    <row r="5">
      <c r="A5" s="1" t="str">
        <f t="shared" si="2"/>
        <v>sugerencia_4</v>
      </c>
      <c r="C5" s="1" t="s">
        <v>294</v>
      </c>
    </row>
    <row r="6">
      <c r="A6" s="1" t="str">
        <f t="shared" si="2"/>
        <v>sugerencia_5</v>
      </c>
      <c r="C6" s="1" t="s">
        <v>295</v>
      </c>
    </row>
    <row r="7">
      <c r="A7" s="1" t="str">
        <f t="shared" si="2"/>
        <v>sugerencia_6</v>
      </c>
      <c r="C7" s="1" t="s">
        <v>296</v>
      </c>
    </row>
    <row r="8">
      <c r="A8" s="1" t="str">
        <f t="shared" si="2"/>
        <v>sugerencia_7</v>
      </c>
    </row>
    <row r="9">
      <c r="A9" s="1" t="str">
        <f t="shared" si="2"/>
        <v>sugerencia_8</v>
      </c>
    </row>
    <row r="10">
      <c r="A10" s="1" t="str">
        <f t="shared" si="2"/>
        <v>sugerencia_9</v>
      </c>
    </row>
    <row r="11">
      <c r="A11" s="1" t="str">
        <f t="shared" si="2"/>
        <v>sugerencia_10</v>
      </c>
    </row>
    <row r="12">
      <c r="A12" s="1" t="str">
        <f t="shared" si="2"/>
        <v>sugerencia_11</v>
      </c>
    </row>
    <row r="13">
      <c r="A13" s="1" t="str">
        <f t="shared" si="2"/>
        <v>sugerencia_12</v>
      </c>
    </row>
    <row r="14">
      <c r="A14" s="1" t="str">
        <f t="shared" si="2"/>
        <v>sugerencia_13</v>
      </c>
    </row>
    <row r="15">
      <c r="A15" s="1" t="str">
        <f t="shared" si="2"/>
        <v>sugerencia_14</v>
      </c>
    </row>
    <row r="16">
      <c r="A16" s="1" t="str">
        <f t="shared" si="2"/>
        <v>sugerencia_15</v>
      </c>
    </row>
    <row r="17">
      <c r="A17" s="1" t="str">
        <f t="shared" si="2"/>
        <v>sugerencia_16</v>
      </c>
    </row>
    <row r="18">
      <c r="A18" s="1" t="str">
        <f t="shared" si="2"/>
        <v>sugerencia_17</v>
      </c>
    </row>
    <row r="19">
      <c r="A19" s="1" t="str">
        <f t="shared" si="2"/>
        <v>sugerencia_18</v>
      </c>
    </row>
    <row r="20">
      <c r="A20" s="1" t="str">
        <f t="shared" si="2"/>
        <v>sugerencia_19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297</v>
      </c>
      <c r="B1" s="1" t="str">
        <f t="shared" ref="B1:K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row>
    <row r="2">
      <c r="A2" s="1" t="str">
        <f t="shared" ref="A2:A10" si="2">"actividad_"&amp;ROWS($A$1:A1)</f>
        <v>actividad_1</v>
      </c>
      <c r="C2" s="1" t="s">
        <v>298</v>
      </c>
    </row>
    <row r="3">
      <c r="A3" s="1" t="str">
        <f t="shared" si="2"/>
        <v>actividad_2</v>
      </c>
      <c r="C3" s="1" t="s">
        <v>299</v>
      </c>
    </row>
    <row r="4">
      <c r="A4" s="1" t="str">
        <f t="shared" si="2"/>
        <v>actividad_3</v>
      </c>
      <c r="C4" s="1" t="s">
        <v>300</v>
      </c>
    </row>
    <row r="5">
      <c r="A5" s="1" t="str">
        <f t="shared" si="2"/>
        <v>actividad_4</v>
      </c>
      <c r="C5" s="1" t="s">
        <v>301</v>
      </c>
    </row>
    <row r="6">
      <c r="A6" s="1" t="str">
        <f t="shared" si="2"/>
        <v>actividad_5</v>
      </c>
      <c r="C6" s="1" t="s">
        <v>302</v>
      </c>
    </row>
    <row r="7">
      <c r="A7" s="1" t="str">
        <f t="shared" si="2"/>
        <v>actividad_6</v>
      </c>
    </row>
    <row r="8">
      <c r="A8" s="1" t="str">
        <f t="shared" si="2"/>
        <v>actividad_7</v>
      </c>
    </row>
    <row r="9">
      <c r="A9" s="1" t="str">
        <f t="shared" si="2"/>
        <v>actividad_8</v>
      </c>
    </row>
    <row r="10">
      <c r="A10" s="1" t="str">
        <f t="shared" si="2"/>
        <v>actividad_9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303</v>
      </c>
      <c r="B1" s="11" t="str">
        <f t="shared" ref="B1:K1" si="1">"lectura_"&amp;COLUMNS($B$1:B1)</f>
        <v>lectura_1</v>
      </c>
      <c r="C1" s="11" t="str">
        <f t="shared" si="1"/>
        <v>lectura_2</v>
      </c>
      <c r="D1" s="11" t="str">
        <f t="shared" si="1"/>
        <v>lectura_3</v>
      </c>
      <c r="E1" s="11" t="str">
        <f t="shared" si="1"/>
        <v>lectura_4</v>
      </c>
      <c r="F1" s="11" t="str">
        <f t="shared" si="1"/>
        <v>lectura_5</v>
      </c>
      <c r="G1" s="11" t="str">
        <f t="shared" si="1"/>
        <v>lectura_6</v>
      </c>
      <c r="H1" s="11" t="str">
        <f t="shared" si="1"/>
        <v>lectura_7</v>
      </c>
      <c r="I1" s="11" t="str">
        <f t="shared" si="1"/>
        <v>lectura_8</v>
      </c>
      <c r="J1" s="11" t="str">
        <f t="shared" si="1"/>
        <v>lectura_9</v>
      </c>
      <c r="K1" s="11" t="str">
        <f t="shared" si="1"/>
        <v>lectura_10</v>
      </c>
    </row>
    <row r="2">
      <c r="A2" s="11" t="str">
        <f t="shared" ref="A2:A10" si="2">"integracion_"&amp;ROWS($A$1:A1)</f>
        <v>integracion_1</v>
      </c>
      <c r="C2" s="11" t="s">
        <v>305</v>
      </c>
    </row>
    <row r="3">
      <c r="A3" s="11" t="str">
        <f t="shared" si="2"/>
        <v>integracion_2</v>
      </c>
      <c r="C3" s="11" t="s">
        <v>306</v>
      </c>
    </row>
    <row r="4">
      <c r="A4" s="11" t="str">
        <f t="shared" si="2"/>
        <v>integracion_3</v>
      </c>
      <c r="C4" s="11" t="s">
        <v>307</v>
      </c>
    </row>
    <row r="5">
      <c r="A5" s="11" t="str">
        <f t="shared" si="2"/>
        <v>integracion_4</v>
      </c>
      <c r="C5" s="11" t="s">
        <v>308</v>
      </c>
    </row>
    <row r="6">
      <c r="A6" s="11" t="str">
        <f t="shared" si="2"/>
        <v>integracion_5</v>
      </c>
      <c r="C6" s="1" t="s">
        <v>309</v>
      </c>
    </row>
    <row r="7">
      <c r="A7" s="11" t="str">
        <f t="shared" si="2"/>
        <v>integracion_6</v>
      </c>
      <c r="C7" s="1" t="s">
        <v>310</v>
      </c>
    </row>
    <row r="8">
      <c r="A8" s="11" t="str">
        <f t="shared" si="2"/>
        <v>integracion_7</v>
      </c>
      <c r="C8" s="1" t="s">
        <v>311</v>
      </c>
    </row>
    <row r="9">
      <c r="A9" s="11" t="str">
        <f t="shared" si="2"/>
        <v>integracion_8</v>
      </c>
      <c r="C9" s="1" t="s">
        <v>312</v>
      </c>
    </row>
    <row r="10">
      <c r="A10" s="11" t="str">
        <f t="shared" si="2"/>
        <v>integracion_9</v>
      </c>
      <c r="C10" s="1" t="s">
        <v>313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304</v>
      </c>
      <c r="B1" s="1" t="str">
        <f t="shared" ref="B1:K1" si="1">"lectura_"&amp;COLUMNS($B$1:B1)</f>
        <v>lectura_1</v>
      </c>
      <c r="C1" s="1" t="str">
        <f t="shared" si="1"/>
        <v>lectura_2</v>
      </c>
      <c r="D1" s="1" t="str">
        <f t="shared" si="1"/>
        <v>lectura_3</v>
      </c>
      <c r="E1" s="1" t="str">
        <f t="shared" si="1"/>
        <v>lectura_4</v>
      </c>
      <c r="F1" s="1" t="str">
        <f t="shared" si="1"/>
        <v>lectura_5</v>
      </c>
      <c r="G1" s="1" t="str">
        <f t="shared" si="1"/>
        <v>lectura_6</v>
      </c>
      <c r="H1" s="1" t="str">
        <f t="shared" si="1"/>
        <v>lectura_7</v>
      </c>
      <c r="I1" s="1" t="str">
        <f t="shared" si="1"/>
        <v>lectura_8</v>
      </c>
      <c r="J1" s="1" t="str">
        <f t="shared" si="1"/>
        <v>lectura_9</v>
      </c>
      <c r="K1" s="1" t="str">
        <f t="shared" si="1"/>
        <v>lectura_10</v>
      </c>
    </row>
    <row r="2">
      <c r="A2" s="1" t="str">
        <f t="shared" ref="A2:A5" si="2">"articulacion_"&amp;ROWS($A$1:A1)</f>
        <v>articulacion_1</v>
      </c>
      <c r="C2" s="1" t="s">
        <v>314</v>
      </c>
    </row>
    <row r="3">
      <c r="A3" s="1" t="str">
        <f t="shared" si="2"/>
        <v>articulacion_2</v>
      </c>
      <c r="C3" s="1" t="s">
        <v>315</v>
      </c>
    </row>
    <row r="4">
      <c r="A4" s="1" t="str">
        <f t="shared" si="2"/>
        <v>articulacion_3</v>
      </c>
      <c r="C4" s="1" t="s">
        <v>316</v>
      </c>
    </row>
    <row r="5">
      <c r="A5" s="1" t="str">
        <f t="shared" si="2"/>
        <v>articulacion_4</v>
      </c>
      <c r="C5" s="1" t="s">
        <v>317</v>
      </c>
    </row>
    <row r="6">
      <c r="C6" s="1"/>
    </row>
    <row r="13">
      <c r="F13" s="1" t="s">
        <v>318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2025-11-14T18:35:28Z</dcterms:created>
</cp:coreProperties>
</file>